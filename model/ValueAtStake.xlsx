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_Source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%"/>
    <numFmt numFmtId="167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3" borderId="0" pivotButton="0" quotePrefix="0" xfId="0"/>
    <xf numFmtId="2" fontId="0" fillId="3" borderId="0" pivotButton="0" quotePrefix="0" xfId="0"/>
    <xf numFmtId="3" fontId="0" fillId="3" borderId="0" pivotButton="0" quotePrefix="0" xfId="0"/>
    <xf numFmtId="167" fontId="0" fillId="0" borderId="0" pivotButton="0" quotePrefix="0" xfId="0"/>
    <xf numFmtId="9" fontId="0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1" fillId="0" borderId="1" pivotButton="0" quotePrefix="0" xfId="0"/>
    <xf numFmtId="9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Value-at-Stake Model - Zellis Rightsizing Diagnostic</t>
        </is>
      </c>
    </row>
    <row r="2">
      <c r="A2" t="inlineStr"/>
    </row>
    <row r="3">
      <c r="A3" t="inlineStr">
        <is>
          <t>How to use: every white cell is a live formula. Change assumptions on 'Assumptions' only.</t>
        </is>
      </c>
    </row>
    <row r="4">
      <c r="A4" t="inlineStr">
        <is>
          <t>All money figures in GBP thousands (GBP k) unless marked GBP m.</t>
        </is>
      </c>
    </row>
    <row r="5">
      <c r="A5" t="inlineStr"/>
    </row>
    <row r="6">
      <c r="A6" t="inlineStr">
        <is>
          <t>Tabs:</t>
        </is>
      </c>
    </row>
    <row r="7">
      <c r="A7" t="inlineStr">
        <is>
          <t xml:space="preserve">  Inputs_Sourced  - verified figures from filed accounts (each with source reference)</t>
        </is>
      </c>
    </row>
    <row r="8">
      <c r="A8" t="inlineStr">
        <is>
          <t xml:space="preserve">  Assumptions     - the only place to change drivers; peer stats computed live from Inputs_Sourced</t>
        </is>
      </c>
    </row>
    <row r="9">
      <c r="A9" t="inlineStr">
        <is>
          <t xml:space="preserve">  Model           - dual-method sizing (A: ratio-gap x revenue; B: headcount delta x cost/FTE)</t>
        </is>
      </c>
    </row>
    <row r="10">
      <c r="A10" t="inlineStr">
        <is>
          <t xml:space="preserve">  Scenarios       - Low / Base / High anchored to peer percentiles (QUARTILE formulas)</t>
        </is>
      </c>
    </row>
    <row r="11">
      <c r="A11" t="inlineStr">
        <is>
          <t xml:space="preserve">  Sensitivity     - 2-way grid: % of gap closed x cost-to-implement (all formulas)</t>
        </is>
      </c>
    </row>
    <row r="12">
      <c r="A12" t="inlineStr"/>
    </row>
    <row r="13">
      <c r="A13" t="inlineStr">
        <is>
          <t>Rebuild: python data/build_model.py</t>
        </is>
      </c>
    </row>
    <row r="14">
      <c r="A14" t="inlineStr">
        <is>
          <t>Data log: data/data-log.md | dataset: data/financials.csv | findings: analysis/step-4-analysis.md</t>
        </is>
      </c>
    </row>
    <row r="15">
      <c r="A15" t="inlineStr"/>
    </row>
    <row r="16">
      <c r="A16" t="inlineStr">
        <is>
          <t>Caveats: entity-vs-group basis; OneAdvanced continuing ops; Access roll-up (M&amp;A-driven growth);</t>
        </is>
      </c>
    </row>
    <row r="17">
      <c r="A17" t="inlineStr">
        <is>
          <t>restatements; IRIS group accounts via PARENT_ACC filings; Sage excluded as listed anchor.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Sourced data - filed accounts (GBP k; headcount = average monthly FTE)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FY</t>
        </is>
      </c>
      <c r="D3" s="2" t="inlineStr">
        <is>
          <t>Period end</t>
        </is>
      </c>
      <c r="E3" s="2" t="inlineStr">
        <is>
          <t>Revenue GBP k</t>
        </is>
      </c>
      <c r="F3" s="2" t="inlineStr">
        <is>
          <t>Staff costs GBP k</t>
        </is>
      </c>
      <c r="G3" s="2" t="inlineStr">
        <is>
          <t>Avg headcount</t>
        </is>
      </c>
      <c r="H3" s="2" t="inlineStr">
        <is>
          <t>Source</t>
        </is>
      </c>
      <c r="I3" s="2" t="inlineStr">
        <is>
          <t>In peer stats</t>
        </is>
      </c>
    </row>
    <row r="4">
      <c r="A4" s="3" t="inlineStr">
        <is>
          <t>Access UK Ltd</t>
        </is>
      </c>
      <c r="B4" s="3" t="inlineStr">
        <is>
          <t>peer</t>
        </is>
      </c>
      <c r="C4" s="3" t="inlineStr">
        <is>
          <t>FY2021</t>
        </is>
      </c>
      <c r="D4" s="4" t="n">
        <v>44377</v>
      </c>
      <c r="E4" s="3" t="n">
        <v>317647</v>
      </c>
      <c r="F4" s="3" t="n">
        <v>127704</v>
      </c>
      <c r="G4" s="3" t="n">
        <v>2255</v>
      </c>
      <c r="H4" s="3" t="inlineStr">
        <is>
          <t>see data/financials.csv + data/data-log.md</t>
        </is>
      </c>
      <c r="I4" s="3" t="n"/>
      <c r="J4" s="3">
        <f>AND($B4="peer",COUNTIFS($A$4:$A$100,$A4,$C$4:$C$100,"&gt;"&amp;$C4)=0)</f>
        <v/>
      </c>
    </row>
    <row r="5">
      <c r="A5" s="3" t="inlineStr">
        <is>
          <t>Access UK Ltd</t>
        </is>
      </c>
      <c r="B5" s="3" t="inlineStr">
        <is>
          <t>peer</t>
        </is>
      </c>
      <c r="C5" s="3" t="inlineStr">
        <is>
          <t>FY2022</t>
        </is>
      </c>
      <c r="D5" s="4" t="n">
        <v>44742</v>
      </c>
      <c r="E5" s="3" t="n">
        <v>434381</v>
      </c>
      <c r="F5" s="3" t="n">
        <v>193215</v>
      </c>
      <c r="G5" s="3" t="n">
        <v>3009</v>
      </c>
      <c r="H5" s="3" t="inlineStr">
        <is>
          <t>see data/financials.csv + data/data-log.md</t>
        </is>
      </c>
      <c r="I5" s="3" t="n"/>
      <c r="J5" s="3">
        <f>AND($B5="peer",COUNTIFS($A$4:$A$100,$A5,$C$4:$C$100,"&gt;"&amp;$C5)=0)</f>
        <v/>
      </c>
    </row>
    <row r="6">
      <c r="A6" s="3" t="inlineStr">
        <is>
          <t>Access UK Ltd</t>
        </is>
      </c>
      <c r="B6" s="3" t="inlineStr">
        <is>
          <t>peer</t>
        </is>
      </c>
      <c r="C6" s="3" t="inlineStr">
        <is>
          <t>FY2023</t>
        </is>
      </c>
      <c r="D6" s="4" t="n">
        <v>45107</v>
      </c>
      <c r="E6" s="3" t="n">
        <v>581466</v>
      </c>
      <c r="F6" s="3" t="n">
        <v>236051</v>
      </c>
      <c r="G6" s="3" t="n">
        <v>4428</v>
      </c>
      <c r="H6" s="3" t="inlineStr">
        <is>
          <t>see data/financials.csv + data/data-log.md</t>
        </is>
      </c>
      <c r="I6" s="3" t="n"/>
      <c r="J6" s="3">
        <f>AND($B6="peer",COUNTIFS($A$4:$A$100,$A6,$C$4:$C$100,"&gt;"&amp;$C6)=0)</f>
        <v/>
      </c>
    </row>
    <row r="7">
      <c r="A7" s="3" t="inlineStr">
        <is>
          <t>Access UK Ltd</t>
        </is>
      </c>
      <c r="B7" s="3" t="inlineStr">
        <is>
          <t>peer</t>
        </is>
      </c>
      <c r="C7" s="3" t="inlineStr">
        <is>
          <t>FY2024</t>
        </is>
      </c>
      <c r="D7" s="4" t="n">
        <v>45473</v>
      </c>
      <c r="E7" s="3" t="n">
        <v>708813</v>
      </c>
      <c r="F7" s="3" t="n">
        <v>265270</v>
      </c>
      <c r="G7" s="3" t="n">
        <v>4429</v>
      </c>
      <c r="H7" s="3" t="inlineStr">
        <is>
          <t>see data/financials.csv + data/data-log.md</t>
        </is>
      </c>
      <c r="I7" s="3" t="n"/>
      <c r="J7" s="3">
        <f>AND($B7="peer",COUNTIFS($A$4:$A$100,$A7,$C$4:$C$100,"&gt;"&amp;$C7)=0)</f>
        <v/>
      </c>
    </row>
    <row r="8">
      <c r="A8" s="3" t="inlineStr">
        <is>
          <t>Access UK Ltd</t>
        </is>
      </c>
      <c r="B8" s="3" t="inlineStr">
        <is>
          <t>peer</t>
        </is>
      </c>
      <c r="C8" s="3" t="inlineStr">
        <is>
          <t>FY2025</t>
        </is>
      </c>
      <c r="D8" s="4" t="n">
        <v>45838</v>
      </c>
      <c r="E8" s="3" t="n">
        <v>751022</v>
      </c>
      <c r="F8" s="3" t="n">
        <v>300058</v>
      </c>
      <c r="G8" s="3" t="n">
        <v>4591</v>
      </c>
      <c r="H8" s="3" t="inlineStr">
        <is>
          <t>see data/financials.csv + data/data-log.md</t>
        </is>
      </c>
      <c r="I8" s="3" t="n"/>
      <c r="J8" s="3">
        <f>AND($B8="peer",COUNTIFS($A$4:$A$100,$A8,$C$4:$C$100,"&gt;"&amp;$C8)=0)</f>
        <v/>
      </c>
    </row>
    <row r="9">
      <c r="A9" s="3" t="inlineStr">
        <is>
          <t>IRIS Business Software Limited (group)</t>
        </is>
      </c>
      <c r="B9" s="3" t="inlineStr">
        <is>
          <t>peer</t>
        </is>
      </c>
      <c r="C9" s="3" t="inlineStr">
        <is>
          <t>FY2023</t>
        </is>
      </c>
      <c r="D9" s="4" t="n">
        <v>45046</v>
      </c>
      <c r="E9" s="3" t="n">
        <v>319080</v>
      </c>
      <c r="F9" s="3" t="n">
        <v>131648</v>
      </c>
      <c r="G9" s="3" t="n">
        <v>2638</v>
      </c>
      <c r="H9" s="3" t="inlineStr">
        <is>
          <t>see data/financials.csv + data/data-log.md</t>
        </is>
      </c>
      <c r="I9" s="3" t="n"/>
      <c r="J9" s="3">
        <f>AND($B9="peer",COUNTIFS($A$4:$A$100,$A9,$C$4:$C$100,"&gt;"&amp;$C9)=0)</f>
        <v/>
      </c>
    </row>
    <row r="10">
      <c r="A10" s="3" t="inlineStr">
        <is>
          <t>IRIS Business Software Limited (group)</t>
        </is>
      </c>
      <c r="B10" s="3" t="inlineStr">
        <is>
          <t>peer</t>
        </is>
      </c>
      <c r="C10" s="3" t="inlineStr">
        <is>
          <t>FY2024</t>
        </is>
      </c>
      <c r="D10" s="4" t="n">
        <v>45412</v>
      </c>
      <c r="E10" s="3" t="n">
        <v>373544</v>
      </c>
      <c r="F10" s="3" t="n">
        <v>161282</v>
      </c>
      <c r="G10" s="3" t="n">
        <v>2986</v>
      </c>
      <c r="H10" s="3" t="inlineStr">
        <is>
          <t>see data/financials.csv + data/data-log.md</t>
        </is>
      </c>
      <c r="I10" s="3" t="n"/>
      <c r="J10" s="3">
        <f>AND($B10="peer",COUNTIFS($A$4:$A$100,$A10,$C$4:$C$100,"&gt;"&amp;$C10)=0)</f>
        <v/>
      </c>
    </row>
    <row r="11">
      <c r="A11" s="3" t="inlineStr">
        <is>
          <t>OneAdvanced Group Limited</t>
        </is>
      </c>
      <c r="B11" s="3" t="inlineStr">
        <is>
          <t>peer</t>
        </is>
      </c>
      <c r="C11" s="3" t="inlineStr">
        <is>
          <t>FY2022</t>
        </is>
      </c>
      <c r="D11" s="4" t="n">
        <v>44620</v>
      </c>
      <c r="E11" s="3" t="n">
        <v>316494</v>
      </c>
      <c r="F11" s="3" t="n">
        <v>132593</v>
      </c>
      <c r="G11" s="3" t="n">
        <v>2676</v>
      </c>
      <c r="H11" s="3" t="inlineStr">
        <is>
          <t>see data/financials.csv + data/data-log.md</t>
        </is>
      </c>
      <c r="I11" s="3" t="n"/>
      <c r="J11" s="3">
        <f>AND($B11="peer",COUNTIFS($A$4:$A$100,$A11,$C$4:$C$100,"&gt;"&amp;$C11)=0)</f>
        <v/>
      </c>
    </row>
    <row r="12">
      <c r="A12" s="3" t="inlineStr">
        <is>
          <t>OneAdvanced Group Limited</t>
        </is>
      </c>
      <c r="B12" s="3" t="inlineStr">
        <is>
          <t>peer</t>
        </is>
      </c>
      <c r="C12" s="3" t="inlineStr">
        <is>
          <t>FY2023</t>
        </is>
      </c>
      <c r="D12" s="4" t="n">
        <v>44985</v>
      </c>
      <c r="E12" s="3" t="n">
        <v>321708</v>
      </c>
      <c r="F12" s="3" t="n">
        <v>150689</v>
      </c>
      <c r="G12" s="3" t="n">
        <v>2960</v>
      </c>
      <c r="H12" s="3" t="inlineStr">
        <is>
          <t>see data/financials.csv + data/data-log.md</t>
        </is>
      </c>
      <c r="I12" s="3" t="n"/>
      <c r="J12" s="3">
        <f>AND($B12="peer",COUNTIFS($A$4:$A$100,$A12,$C$4:$C$100,"&gt;"&amp;$C12)=0)</f>
        <v/>
      </c>
    </row>
    <row r="13">
      <c r="A13" s="3" t="inlineStr">
        <is>
          <t>OneAdvanced Group Limited</t>
        </is>
      </c>
      <c r="B13" s="3" t="inlineStr">
        <is>
          <t>peer</t>
        </is>
      </c>
      <c r="C13" s="3" t="inlineStr">
        <is>
          <t>FY2024</t>
        </is>
      </c>
      <c r="D13" s="4" t="n">
        <v>45351</v>
      </c>
      <c r="E13" s="3" t="n">
        <v>320148</v>
      </c>
      <c r="F13" s="3" t="n">
        <v>143607</v>
      </c>
      <c r="G13" s="3" t="n">
        <v>2753</v>
      </c>
      <c r="H13" s="3" t="inlineStr">
        <is>
          <t>see data/financials.csv + data/data-log.md</t>
        </is>
      </c>
      <c r="I13" s="3" t="n"/>
      <c r="J13" s="3">
        <f>AND($B13="peer",COUNTIFS($A$4:$A$100,$A13,$C$4:$C$100,"&gt;"&amp;$C13)=0)</f>
        <v/>
      </c>
    </row>
    <row r="14">
      <c r="A14" s="3" t="inlineStr">
        <is>
          <t>OneAdvanced Group Limited</t>
        </is>
      </c>
      <c r="B14" s="3" t="inlineStr">
        <is>
          <t>peer</t>
        </is>
      </c>
      <c r="C14" s="3" t="inlineStr">
        <is>
          <t>FY2025</t>
        </is>
      </c>
      <c r="D14" s="4" t="n">
        <v>45716</v>
      </c>
      <c r="E14" s="3" t="n">
        <v>308959</v>
      </c>
      <c r="F14" s="3" t="n">
        <v>113549</v>
      </c>
      <c r="G14" s="3" t="n">
        <v>2283</v>
      </c>
      <c r="H14" s="3" t="inlineStr">
        <is>
          <t>see data/financials.csv + data/data-log.md</t>
        </is>
      </c>
      <c r="I14" s="3" t="n"/>
      <c r="J14" s="3">
        <f>AND($B14="peer",COUNTIFS($A$4:$A$100,$A14,$C$4:$C$100,"&gt;"&amp;$C14)=0)</f>
        <v/>
      </c>
    </row>
    <row r="15">
      <c r="A15" s="3" t="inlineStr">
        <is>
          <t>Zellis Holdings Limited</t>
        </is>
      </c>
      <c r="B15" s="3" t="inlineStr">
        <is>
          <t>target</t>
        </is>
      </c>
      <c r="C15" s="3" t="inlineStr">
        <is>
          <t>FY2021</t>
        </is>
      </c>
      <c r="D15" s="4" t="n">
        <v>44316</v>
      </c>
      <c r="E15" s="3" t="n">
        <v>159703</v>
      </c>
      <c r="F15" s="3" t="n">
        <v>92776</v>
      </c>
      <c r="G15" s="3" t="n">
        <v>2221</v>
      </c>
      <c r="H15" s="3" t="inlineStr">
        <is>
          <t>see data/financials.csv + data/data-log.md</t>
        </is>
      </c>
      <c r="I15" s="3" t="n"/>
      <c r="J15" s="3">
        <f>AND($B15="peer",COUNTIFS($A$4:$A$100,$A15,$C$4:$C$100,"&gt;"&amp;$C15)=0)</f>
        <v/>
      </c>
    </row>
    <row r="16">
      <c r="A16" s="3" t="inlineStr">
        <is>
          <t>Zellis Holdings Limited</t>
        </is>
      </c>
      <c r="B16" s="3" t="inlineStr">
        <is>
          <t>target</t>
        </is>
      </c>
      <c r="C16" s="3" t="inlineStr">
        <is>
          <t>FY2022</t>
        </is>
      </c>
      <c r="D16" s="4" t="n">
        <v>44681</v>
      </c>
      <c r="E16" s="3" t="n">
        <v>175350</v>
      </c>
      <c r="F16" s="3" t="n">
        <v>94108</v>
      </c>
      <c r="G16" s="3" t="n">
        <v>2129</v>
      </c>
      <c r="H16" s="3" t="inlineStr">
        <is>
          <t>see data/financials.csv + data/data-log.md</t>
        </is>
      </c>
      <c r="I16" s="3" t="n"/>
      <c r="J16" s="3">
        <f>AND($B16="peer",COUNTIFS($A$4:$A$100,$A16,$C$4:$C$100,"&gt;"&amp;$C16)=0)</f>
        <v/>
      </c>
    </row>
    <row r="17">
      <c r="A17" s="3" t="inlineStr">
        <is>
          <t>Zellis Holdings Limited</t>
        </is>
      </c>
      <c r="B17" s="3" t="inlineStr">
        <is>
          <t>target</t>
        </is>
      </c>
      <c r="C17" s="3" t="inlineStr">
        <is>
          <t>FY2023</t>
        </is>
      </c>
      <c r="D17" s="4" t="n">
        <v>45046</v>
      </c>
      <c r="E17" s="3" t="n">
        <v>201351</v>
      </c>
      <c r="F17" s="3" t="n">
        <v>107459</v>
      </c>
      <c r="G17" s="3" t="n">
        <v>2160</v>
      </c>
      <c r="H17" s="3" t="inlineStr">
        <is>
          <t>see data/financials.csv + data/data-log.md</t>
        </is>
      </c>
      <c r="I17" s="3" t="n"/>
      <c r="J17" s="3">
        <f>AND($B17="peer",COUNTIFS($A$4:$A$100,$A17,$C$4:$C$100,"&gt;"&amp;$C17)=0)</f>
        <v/>
      </c>
    </row>
    <row r="18">
      <c r="A18" s="3" t="inlineStr">
        <is>
          <t>Zellis Holdings Limited</t>
        </is>
      </c>
      <c r="B18" s="3" t="inlineStr">
        <is>
          <t>target</t>
        </is>
      </c>
      <c r="C18" s="3" t="inlineStr">
        <is>
          <t>FY2024</t>
        </is>
      </c>
      <c r="D18" s="4" t="n">
        <v>45412</v>
      </c>
      <c r="E18" s="3" t="n">
        <v>226584</v>
      </c>
      <c r="F18" s="3" t="n">
        <v>122418</v>
      </c>
      <c r="G18" s="3" t="n">
        <v>2477</v>
      </c>
      <c r="H18" s="3" t="inlineStr">
        <is>
          <t>see data/financials.csv + data/data-log.md</t>
        </is>
      </c>
      <c r="I18" s="3" t="n"/>
      <c r="J18" s="3">
        <f>AND($B18="peer",COUNTIFS($A$4:$A$100,$A18,$C$4:$C$100,"&gt;"&amp;$C18)=0)</f>
        <v/>
      </c>
    </row>
    <row r="19">
      <c r="A19" s="3" t="inlineStr">
        <is>
          <t>Zellis Holdings Limited</t>
        </is>
      </c>
      <c r="B19" s="3" t="inlineStr">
        <is>
          <t>target</t>
        </is>
      </c>
      <c r="C19" s="3" t="inlineStr">
        <is>
          <t>FY2025</t>
        </is>
      </c>
      <c r="D19" s="4" t="n">
        <v>45777</v>
      </c>
      <c r="E19" s="3" t="n">
        <v>261068</v>
      </c>
      <c r="F19" s="3" t="n">
        <v>136488</v>
      </c>
      <c r="G19" s="3" t="n">
        <v>2655</v>
      </c>
      <c r="H19" s="3" t="inlineStr">
        <is>
          <t>see data/financials.csv + data/data-log.md</t>
        </is>
      </c>
      <c r="I19" s="3" t="n"/>
      <c r="J19" s="3">
        <f>AND($B19="peer",COUNTIFS($A$4:$A$100,$A19,$C$4:$C$100,"&gt;"&amp;$C19)=0)</f>
        <v/>
      </c>
    </row>
    <row r="21">
      <c r="A21" t="inlineStr">
        <is>
          <t>Sage Group plc (public anchor) excluded from peer stats - listed company, different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Assumptions - the only tab to edit</t>
        </is>
      </c>
    </row>
    <row r="2">
      <c r="A2" s="1" t="inlineStr">
        <is>
          <t>Yellow cells = editable judgement. White = computed live from Inputs_Sourced.</t>
        </is>
      </c>
    </row>
    <row r="4">
      <c r="A4" s="1" t="inlineStr">
        <is>
          <t>TARGET (Zellis Holdings, group) - FY2025</t>
        </is>
      </c>
    </row>
    <row r="5">
      <c r="A5" t="inlineStr">
        <is>
          <t>Target revenue (GBP k)</t>
        </is>
      </c>
      <c r="B5" s="5">
        <f>INDEX(Inputs_Sourced!$E:$E,MATCH(1,(Inputs_Sourced!$B$4:$B$100="target")*(Inputs_Sourced!$C$4:$C$100="FY2025")*(Inputs_Sourced!$A$4:$A$100="Zellis Holdings Limited"),0))</f>
        <v/>
      </c>
    </row>
    <row r="6">
      <c r="A6" t="inlineStr">
        <is>
          <t>Target average headcount</t>
        </is>
      </c>
      <c r="B6" s="5">
        <f>INDEX(Inputs_Sourced!$G:$G,MATCH(1,(Inputs_Sourced!$B$4:$B$100="target")*(Inputs_Sourced!$C$4:$C$100="FY2025")*(Inputs_Sourced!$A$4:$A$100="Zellis Holdings Limited"),0))</f>
        <v/>
      </c>
    </row>
    <row r="7">
      <c r="A7" t="inlineStr">
        <is>
          <t>Target staff costs (GBP k)</t>
        </is>
      </c>
      <c r="B7" s="5">
        <f>INDEX(Inputs_Sourced!$F:$F,MATCH(1,(Inputs_Sourced!$B$4:$B$100="target")*(Inputs_Sourced!$C$4:$C$100="FY2025")*(Inputs_Sourced!$A$4:$A$100="Zellis Holdings Limited"),0))</f>
        <v/>
      </c>
    </row>
    <row r="8">
      <c r="A8" t="inlineStr">
        <is>
          <t>Target staff cost per FTE (GBP k)</t>
        </is>
      </c>
      <c r="B8" s="6">
        <f>B7/B6</f>
        <v/>
      </c>
    </row>
    <row r="9">
      <c r="A9" t="inlineStr">
        <is>
          <t>Target staff cost as % of revenue</t>
        </is>
      </c>
      <c r="B9" s="7">
        <f>B7/B5</f>
        <v/>
      </c>
    </row>
    <row r="10">
      <c r="A10" t="inlineStr">
        <is>
          <t>Target revenue per FTE (GBP k)</t>
        </is>
      </c>
      <c r="B10" s="6">
        <f>B5/B6</f>
        <v/>
      </c>
    </row>
    <row r="12">
      <c r="A12" s="1" t="inlineStr">
        <is>
          <t>PEER STATS (PE peers only; computed live)</t>
        </is>
      </c>
    </row>
    <row r="13">
      <c r="A13" t="inlineStr">
        <is>
          <t>Peer median revenue per FTE (GBP k)</t>
        </is>
      </c>
      <c r="B13" s="6">
        <f>MEDIAN(IF(Inputs_Sourced!$B$4:$B$100="peer",IF(Inputs_Sourced!$J$4:$J$100=TRUE,Inputs_Sourced!$E$4:$E$100/Inputs_Sourced!$G$4:$G$100)))</f>
        <v/>
      </c>
    </row>
    <row r="14">
      <c r="A14" t="inlineStr">
        <is>
          <t>Peer 25th percentile revenue per FTE</t>
        </is>
      </c>
      <c r="B14" s="6">
        <f>QUARTILE(IF(Inputs_Sourced!$B$4:$B$100="peer",IF(Inputs_Sourced!$J$4:$J$100=TRUE,Inputs_Sourced!$E$4:$E$100/Inputs_Sourced!$G$4:$G$100)),1)</f>
        <v/>
      </c>
    </row>
    <row r="15">
      <c r="A15" t="inlineStr">
        <is>
          <t>Peer 75th percentile revenue per FTE</t>
        </is>
      </c>
      <c r="B15" s="6">
        <f>QUARTILE(IF(Inputs_Sourced!$B$4:$B$100="peer",IF(Inputs_Sourced!$J$4:$J$100=TRUE,Inputs_Sourced!$E$4:$E$100/Inputs_Sourced!$G$4:$G$100)),3)</f>
        <v/>
      </c>
    </row>
    <row r="16">
      <c r="A16" t="inlineStr">
        <is>
          <t>Peer median staff cost as % of revenue</t>
        </is>
      </c>
      <c r="B16" s="7">
        <f>MEDIAN(IF(Inputs_Sourced!$B$4:$B$100="peer",IF(Inputs_Sourced!$J$4:$J$100=TRUE,Inputs_Sourced!$F$4:$F$100/Inputs_Sourced!$E$4:$E$100)))</f>
        <v/>
      </c>
    </row>
    <row r="17">
      <c r="A17" t="inlineStr">
        <is>
          <t>Peer median staff cost per FTE (GBP k)</t>
        </is>
      </c>
      <c r="B17" s="6">
        <f>MEDIAN(IF(Inputs_Sourced!$B$4:$B$100="peer",IF(Inputs_Sourced!$J$4:$J$100=TRUE,Inputs_Sourced!$F$4:$F$100/Inputs_Sourced!$G$4:$G$100)))</f>
        <v/>
      </c>
    </row>
    <row r="19">
      <c r="A19" s="1" t="inlineStr">
        <is>
          <t>SCENARIO JUDGEMENTS (editable)</t>
        </is>
      </c>
    </row>
    <row r="20">
      <c r="A20" t="inlineStr">
        <is>
          <t>Low: fraction of gap to median closed</t>
        </is>
      </c>
      <c r="B20" s="8" t="n">
        <v>0.5</v>
      </c>
    </row>
    <row r="21">
      <c r="A21" t="inlineStr">
        <is>
          <t>Base: fraction of gap to median closed</t>
        </is>
      </c>
      <c r="B21" s="8" t="n">
        <v>1</v>
      </c>
    </row>
    <row r="22">
      <c r="A22" t="inlineStr">
        <is>
          <t>High: multiplier on median rev/FTE (1.10 = 10% beyond)</t>
        </is>
      </c>
      <c r="B22" s="9" t="n">
        <v>1.1</v>
      </c>
    </row>
    <row r="23">
      <c r="A23" t="inlineStr">
        <is>
          <t>Cost to implement (% of annualised benefit, one-off)</t>
        </is>
      </c>
      <c r="B23" s="8" t="n">
        <v>0.25</v>
      </c>
    </row>
    <row r="24">
      <c r="A24" t="inlineStr">
        <is>
          <t>Benefits realised in year 1 (%)</t>
        </is>
      </c>
      <c r="B24" s="8" t="n">
        <v>0.6</v>
      </c>
    </row>
    <row r="25">
      <c r="A25" s="1" t="inlineStr">
        <is>
          <t>Anchors follow the peer DISTRIBUTION (25th/median/75th), not arbitrary %s.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Dual-method value-at-stake sizing (Base case: close gap to peer median)</t>
        </is>
      </c>
    </row>
    <row r="3">
      <c r="A3" s="1" t="inlineStr">
        <is>
          <t>METHOD A - staff-cost-ratio gap x revenue</t>
        </is>
      </c>
    </row>
    <row r="4">
      <c r="A4" t="inlineStr">
        <is>
          <t>Target staff cost ratio</t>
        </is>
      </c>
      <c r="B4" s="7">
        <f>Assumptions!B9</f>
        <v/>
      </c>
    </row>
    <row r="5">
      <c r="A5" t="inlineStr">
        <is>
          <t>Peer median staff cost ratio</t>
        </is>
      </c>
      <c r="B5" s="7">
        <f>Assumptions!B16</f>
        <v/>
      </c>
    </row>
    <row r="6">
      <c r="A6" t="inlineStr">
        <is>
          <t>Ratio gap (target - median)</t>
        </is>
      </c>
      <c r="B6" s="7">
        <f>B4-B5</f>
        <v/>
      </c>
    </row>
    <row r="7">
      <c r="A7" t="inlineStr">
        <is>
          <t>Target revenue (GBP k)</t>
        </is>
      </c>
      <c r="B7" s="5">
        <f>Assumptions!B5</f>
        <v/>
      </c>
    </row>
    <row r="8">
      <c r="A8" t="inlineStr">
        <is>
          <t>VALUE AT STAKE - Method A (GBP k)</t>
        </is>
      </c>
      <c r="B8" s="10">
        <f>B6*B7</f>
        <v/>
      </c>
    </row>
    <row r="10">
      <c r="A10" s="1" t="inlineStr">
        <is>
          <t>METHOD B - headcount delta x cost per FTE</t>
        </is>
      </c>
    </row>
    <row r="11">
      <c r="A11" t="inlineStr">
        <is>
          <t>Target headcount</t>
        </is>
      </c>
      <c r="B11" s="5">
        <f>Assumptions!B6</f>
        <v/>
      </c>
    </row>
    <row r="12">
      <c r="A12" t="inlineStr">
        <is>
          <t>Headcount implied at peer median rev/FTE</t>
        </is>
      </c>
      <c r="B12" s="11">
        <f>Assumptions!B5/Assumptions!B13</f>
        <v/>
      </c>
    </row>
    <row r="13">
      <c r="A13" t="inlineStr">
        <is>
          <t>Headcount delta (target - implied)</t>
        </is>
      </c>
      <c r="B13" s="11">
        <f>B11-B12</f>
        <v/>
      </c>
    </row>
    <row r="14">
      <c r="A14" t="inlineStr">
        <is>
          <t>Target staff cost per FTE (GBP k)</t>
        </is>
      </c>
      <c r="B14" s="6">
        <f>Assumptions!B8</f>
        <v/>
      </c>
    </row>
    <row r="15">
      <c r="A15" t="inlineStr">
        <is>
          <t>VALUE AT STAKE - Method B (GBP k)</t>
        </is>
      </c>
      <c r="B15" s="10">
        <f>B13*B14</f>
        <v/>
      </c>
    </row>
    <row r="17">
      <c r="A17" s="1" t="inlineStr">
        <is>
          <t>CROSS-CHECK</t>
        </is>
      </c>
    </row>
    <row r="18">
      <c r="A18" t="inlineStr">
        <is>
          <t>|A-B| as % of Method A (investigate if &gt;20%)</t>
        </is>
      </c>
      <c r="B18" s="7">
        <f>ABS(B8-B15)/B8</f>
        <v/>
      </c>
    </row>
    <row r="19">
      <c r="A19" s="1" t="inlineStr">
        <is>
          <t>A prices the gap off the cost ratio; B off the headcount implied by peer productivity.</t>
        </is>
      </c>
    </row>
    <row r="21">
      <c r="A21" s="1" t="inlineStr">
        <is>
          <t>YEAR-1 VIEW (phasing)</t>
        </is>
      </c>
    </row>
    <row r="22">
      <c r="A22" t="inlineStr">
        <is>
          <t>Benefits realised in year 1</t>
        </is>
      </c>
      <c r="B22" s="12">
        <f>Assumptions!B24</f>
        <v/>
      </c>
    </row>
    <row r="23">
      <c r="A23" t="inlineStr">
        <is>
          <t>Year-1 gross benefit (average of methods, phased)</t>
        </is>
      </c>
      <c r="B23" s="5">
        <f>(B8+B15)/2*B22</f>
        <v/>
      </c>
    </row>
    <row r="24">
      <c r="A24" t="inlineStr">
        <is>
          <t>One-off implementation cost</t>
        </is>
      </c>
      <c r="B24" s="5">
        <f>(B8+B15)/2*Assumptions!B23</f>
        <v/>
      </c>
    </row>
    <row r="25">
      <c r="A25" t="inlineStr">
        <is>
          <t>Year-1 net impact (GBP k)</t>
        </is>
      </c>
      <c r="B25" s="5">
        <f>B23-B24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 - anchored to the peer distribution</t>
        </is>
      </c>
    </row>
    <row r="3">
      <c r="A3" s="2" t="inlineStr">
        <is>
          <t>Scenario</t>
        </is>
      </c>
      <c r="B3" s="2" t="inlineStr">
        <is>
          <t>Target rev/FTE assumption (GBP k)</t>
        </is>
      </c>
      <c r="C3" s="2" t="inlineStr">
        <is>
          <t>Implied staff ratio</t>
        </is>
      </c>
      <c r="D3" s="2" t="inlineStr">
        <is>
          <t>Ratio-route benefit (GBP k)</t>
        </is>
      </c>
      <c r="E3" s="2" t="inlineStr">
        <is>
          <t>Headcount-route benefit (GBP k)</t>
        </is>
      </c>
      <c r="F3" s="2" t="inlineStr">
        <is>
          <t>Average annual benefit (GBP k)</t>
        </is>
      </c>
    </row>
    <row r="4">
      <c r="A4" s="3" t="inlineStr">
        <is>
          <t>Low</t>
        </is>
      </c>
      <c r="B4" s="13">
        <f>Assumptions!B10+(Assumptions!B13-Assumptions!B10)*Assumptions!B20</f>
        <v/>
      </c>
      <c r="C4" s="14">
        <f>Assumptions!$B$7/(Assumptions!$B$6*B4)</f>
        <v/>
      </c>
      <c r="D4" s="15">
        <f>(Assumptions!$B$9-C4)*Assumptions!$B$5</f>
        <v/>
      </c>
      <c r="E4" s="15">
        <f>(Assumptions!$B$6-Assumptions!$B$5/B4)*Assumptions!$B$8</f>
        <v/>
      </c>
      <c r="F4" s="15">
        <f>(D4+E4)/2</f>
        <v/>
      </c>
    </row>
    <row r="5">
      <c r="A5" s="3" t="inlineStr">
        <is>
          <t>Base</t>
        </is>
      </c>
      <c r="B5" s="13">
        <f>Assumptions!B10+(Assumptions!B13-Assumptions!B10)*Assumptions!B21</f>
        <v/>
      </c>
      <c r="C5" s="14">
        <f>Assumptions!$B$7/(Assumptions!$B$6*B5)</f>
        <v/>
      </c>
      <c r="D5" s="15">
        <f>(Assumptions!$B$9-C5)*Assumptions!$B$5</f>
        <v/>
      </c>
      <c r="E5" s="15">
        <f>(Assumptions!$B$6-Assumptions!$B$5/B5)*Assumptions!$B$8</f>
        <v/>
      </c>
      <c r="F5" s="15">
        <f>(D5+E5)/2</f>
        <v/>
      </c>
    </row>
    <row r="6">
      <c r="A6" s="3" t="inlineStr">
        <is>
          <t>High</t>
        </is>
      </c>
      <c r="B6" s="13">
        <f>Assumptions!B10+(Assumptions!B15-Assumptions!B10)*Assumptions!B22</f>
        <v/>
      </c>
      <c r="C6" s="14">
        <f>Assumptions!$B$7/(Assumptions!$B$6*B6)</f>
        <v/>
      </c>
      <c r="D6" s="15">
        <f>(Assumptions!$B$9-C6)*Assumptions!$B$5</f>
        <v/>
      </c>
      <c r="E6" s="15">
        <f>(Assumptions!$B$6-Assumptions!$B$5/B6)*Assumptions!$B$8</f>
        <v/>
      </c>
      <c r="F6" s="15">
        <f>(D6+E6)/2</f>
        <v/>
      </c>
    </row>
    <row r="8">
      <c r="A8" s="1" t="inlineStr">
        <is>
          <t>Low/High follow the peer IQR (25th/75th percentile of revenue per FTE), not arbitrary choices.</t>
        </is>
      </c>
    </row>
    <row r="9">
      <c r="A9">
        <f>"Peer 25th pct: "&amp;TEXT(Assumptions!B14,"0.0")&amp;"  |  Median: "&amp;TEXT(Assumptions!B13,"0.0")&amp;"  |  75th pct: "&amp;TEXT(Assumptions!B15,"0.0")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Sensitivity: net year-1 EBITDA impact (GBP k)</t>
        </is>
      </c>
    </row>
    <row r="2">
      <c r="A2" s="1" t="inlineStr">
        <is>
          <t>Rows = % of productivity gap closed. Columns = cost-to-implement as % of annualised benefit.</t>
        </is>
      </c>
    </row>
    <row r="4">
      <c r="A4" s="16" t="inlineStr">
        <is>
          <t>gap closed \ cost%</t>
        </is>
      </c>
      <c r="B4" s="17" t="n">
        <v>0.1</v>
      </c>
      <c r="C4" s="17" t="n">
        <v>0.2</v>
      </c>
      <c r="D4" s="17" t="n">
        <v>0.3</v>
      </c>
      <c r="E4" s="17" t="n">
        <v>0.4</v>
      </c>
      <c r="F4" s="17" t="n">
        <v>0.5</v>
      </c>
    </row>
    <row r="5">
      <c r="A5" s="17" t="n">
        <v>0.25</v>
      </c>
      <c r="B5" s="15">
        <f>(Assumptions!$B$13-Assumptions!$B$10)*$A5*Assumptions!$B$6*Assumptions!$B$24*(1-B$4)</f>
        <v/>
      </c>
      <c r="C5" s="15">
        <f>(Assumptions!$B$13-Assumptions!$B$10)*$A5*Assumptions!$B$6*Assumptions!$B$24*(1-C$4)</f>
        <v/>
      </c>
      <c r="D5" s="15">
        <f>(Assumptions!$B$13-Assumptions!$B$10)*$A5*Assumptions!$B$6*Assumptions!$B$24*(1-D$4)</f>
        <v/>
      </c>
      <c r="E5" s="15">
        <f>(Assumptions!$B$13-Assumptions!$B$10)*$A5*Assumptions!$B$6*Assumptions!$B$24*(1-E$4)</f>
        <v/>
      </c>
      <c r="F5" s="15">
        <f>(Assumptions!$B$13-Assumptions!$B$10)*$A5*Assumptions!$B$6*Assumptions!$B$24*(1-F$4)</f>
        <v/>
      </c>
    </row>
    <row r="6">
      <c r="A6" s="17" t="n">
        <v>0.5</v>
      </c>
      <c r="B6" s="15">
        <f>(Assumptions!$B$13-Assumptions!$B$10)*$A6*Assumptions!$B$6*Assumptions!$B$24*(1-B$4)</f>
        <v/>
      </c>
      <c r="C6" s="15">
        <f>(Assumptions!$B$13-Assumptions!$B$10)*$A6*Assumptions!$B$6*Assumptions!$B$24*(1-C$4)</f>
        <v/>
      </c>
      <c r="D6" s="15">
        <f>(Assumptions!$B$13-Assumptions!$B$10)*$A6*Assumptions!$B$6*Assumptions!$B$24*(1-D$4)</f>
        <v/>
      </c>
      <c r="E6" s="15">
        <f>(Assumptions!$B$13-Assumptions!$B$10)*$A6*Assumptions!$B$6*Assumptions!$B$24*(1-E$4)</f>
        <v/>
      </c>
      <c r="F6" s="15">
        <f>(Assumptions!$B$13-Assumptions!$B$10)*$A6*Assumptions!$B$6*Assumptions!$B$24*(1-F$4)</f>
        <v/>
      </c>
    </row>
    <row r="7">
      <c r="A7" s="17" t="n">
        <v>0.75</v>
      </c>
      <c r="B7" s="15">
        <f>(Assumptions!$B$13-Assumptions!$B$10)*$A7*Assumptions!$B$6*Assumptions!$B$24*(1-B$4)</f>
        <v/>
      </c>
      <c r="C7" s="15">
        <f>(Assumptions!$B$13-Assumptions!$B$10)*$A7*Assumptions!$B$6*Assumptions!$B$24*(1-C$4)</f>
        <v/>
      </c>
      <c r="D7" s="15">
        <f>(Assumptions!$B$13-Assumptions!$B$10)*$A7*Assumptions!$B$6*Assumptions!$B$24*(1-D$4)</f>
        <v/>
      </c>
      <c r="E7" s="15">
        <f>(Assumptions!$B$13-Assumptions!$B$10)*$A7*Assumptions!$B$6*Assumptions!$B$24*(1-E$4)</f>
        <v/>
      </c>
      <c r="F7" s="15">
        <f>(Assumptions!$B$13-Assumptions!$B$10)*$A7*Assumptions!$B$6*Assumptions!$B$24*(1-F$4)</f>
        <v/>
      </c>
    </row>
    <row r="8">
      <c r="A8" s="17" t="n">
        <v>1</v>
      </c>
      <c r="B8" s="15">
        <f>(Assumptions!$B$13-Assumptions!$B$10)*$A8*Assumptions!$B$6*Assumptions!$B$24*(1-B$4)</f>
        <v/>
      </c>
      <c r="C8" s="15">
        <f>(Assumptions!$B$13-Assumptions!$B$10)*$A8*Assumptions!$B$6*Assumptions!$B$24*(1-C$4)</f>
        <v/>
      </c>
      <c r="D8" s="15">
        <f>(Assumptions!$B$13-Assumptions!$B$10)*$A8*Assumptions!$B$6*Assumptions!$B$24*(1-D$4)</f>
        <v/>
      </c>
      <c r="E8" s="15">
        <f>(Assumptions!$B$13-Assumptions!$B$10)*$A8*Assumptions!$B$6*Assumptions!$B$24*(1-E$4)</f>
        <v/>
      </c>
      <c r="F8" s="15">
        <f>(Assumptions!$B$13-Assumptions!$B$10)*$A8*Assumptions!$B$6*Assumptions!$B$24*(1-F$4)</f>
        <v/>
      </c>
    </row>
    <row r="9">
      <c r="A9" s="17" t="n">
        <v>1.1</v>
      </c>
      <c r="B9" s="15">
        <f>(Assumptions!$B$13-Assumptions!$B$10)*$A9*Assumptions!$B$6*Assumptions!$B$24*(1-B$4)</f>
        <v/>
      </c>
      <c r="C9" s="15">
        <f>(Assumptions!$B$13-Assumptions!$B$10)*$A9*Assumptions!$B$6*Assumptions!$B$24*(1-C$4)</f>
        <v/>
      </c>
      <c r="D9" s="15">
        <f>(Assumptions!$B$13-Assumptions!$B$10)*$A9*Assumptions!$B$6*Assumptions!$B$24*(1-D$4)</f>
        <v/>
      </c>
      <c r="E9" s="15">
        <f>(Assumptions!$B$13-Assumptions!$B$10)*$A9*Assumptions!$B$6*Assumptions!$B$24*(1-E$4)</f>
        <v/>
      </c>
      <c r="F9" s="15">
        <f>(Assumptions!$B$13-Assumptions!$B$10)*$A9*Assumptions!$B$6*Assumptions!$B$24*(1-F$4)</f>
        <v/>
      </c>
    </row>
    <row r="11">
      <c r="A11" s="1" t="inlineStr">
        <is>
          <t>Gap-closure benefit expressed via the revenue-equivalent route (consistent with Method 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2026-10-20T18:03:31Z</dcterms:created>
  <dcterms:modified xmlns:dcterms="http://purl.org/dc/terms/" xmlns:xsi="http://www.w3.org/2001/XMLSchema-instance" xsi:type="dcterms:W3CDTF">2026-10-20T18:03:31Z</dcterms:modified>
</cp:coreProperties>
</file>