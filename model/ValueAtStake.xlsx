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Benchmark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Checks" sheetId="8" state="visible" r:id="rId8"/>
  </sheets>
  <definedNames>
    <definedName name="Target_Revenue">Benchmarks!$D$5</definedName>
    <definedName name="Target_Staff">Benchmarks!$E$5</definedName>
    <definedName name="Target_FTE">Benchmarks!$F$5</definedName>
    <definedName name="Peer_Median_RevFTE">Benchmarks!$B$12</definedName>
    <definedName name="Peer_P25_RevFTE">Benchmarks!$B$13</definedName>
    <definedName name="Peer_P75_RevFTE">Benchmarks!$B$14</definedName>
    <definedName name="Peer_Median_StaffPct">Benchmarks!$B$15</definedName>
    <definedName name="Peer_Median_CostFTE">Benchmarks!$B$16</definedName>
    <definedName name="Realisation_Y1">Assumptions!$B$5</definedName>
    <definedName name="One_Off_Cost_Pct">Assumptions!$B$6</definedName>
    <definedName name="Check_Tolerance">Assumptions!$B$7</definedName>
    <definedName name="_xlnm._FilterDatabase" localSheetId="1" hidden="1">'Inputs'!$A$4:$O$20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#,##0;[Red](#,##0)"/>
    <numFmt numFmtId="166" formatCode="0.0"/>
    <numFmt numFmtId="167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5"/>
    </font>
    <font>
      <name val="Calibri"/>
      <i val="1"/>
      <color rgb="00595959"/>
      <sz val="10"/>
    </font>
    <font>
      <name val="Calibri"/>
      <b val="1"/>
      <color rgb="001F3864"/>
      <sz val="11"/>
    </font>
    <font>
      <name val="Calibri"/>
      <b val="1"/>
      <sz val="10"/>
    </font>
    <font>
      <name val="Calibri"/>
      <sz val="10"/>
    </font>
    <font>
      <name val="Calibri"/>
      <color rgb="00595959"/>
      <sz val="9"/>
    </font>
    <font>
      <name val="Calibri"/>
      <b val="1"/>
      <color rgb="00FFFFFF"/>
      <sz val="9"/>
    </font>
    <font>
      <name val="Calibri"/>
      <b val="1"/>
      <color rgb="001F3864"/>
      <sz val="12"/>
    </font>
  </fonts>
  <fills count="8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0" fontId="6" fillId="0" borderId="1" pivotButton="0" quotePrefix="0" xfId="0"/>
    <xf numFmtId="0" fontId="6" fillId="0" borderId="0" pivotButton="0" quotePrefix="0" xfId="0"/>
    <xf numFmtId="0" fontId="4" fillId="5" borderId="1" pivotButton="0" quotePrefix="0" xfId="0"/>
    <xf numFmtId="0" fontId="5" fillId="5" borderId="1" pivotButton="0" quotePrefix="0" xfId="0"/>
    <xf numFmtId="165" fontId="5" fillId="5" borderId="1" pivotButton="0" quotePrefix="0" xfId="0"/>
    <xf numFmtId="166" fontId="5" fillId="5" borderId="1" pivotButton="0" quotePrefix="0" xfId="0"/>
    <xf numFmtId="167" fontId="5" fillId="5" borderId="1" pivotButton="0" quotePrefix="0" xfId="0"/>
    <xf numFmtId="0" fontId="6" fillId="5" borderId="1" pivotButton="0" quotePrefix="0" xfId="0"/>
    <xf numFmtId="166" fontId="4" fillId="3" borderId="0" pivotButton="0" quotePrefix="0" xfId="0"/>
    <xf numFmtId="167" fontId="4" fillId="3" borderId="0" pivotButton="0" quotePrefix="0" xfId="0"/>
    <xf numFmtId="166" fontId="4" fillId="0" borderId="0" pivotButton="0" quotePrefix="0" xfId="0"/>
    <xf numFmtId="167" fontId="4" fillId="0" borderId="0" pivotButton="0" quotePrefix="0" xfId="0"/>
    <xf numFmtId="9" fontId="4" fillId="6" borderId="1" applyAlignment="1" pivotButton="0" quotePrefix="0" xfId="0">
      <alignment horizont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3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4" fillId="0" borderId="1" pivotButton="0" quotePrefix="0" xfId="0"/>
    <xf numFmtId="165" fontId="4" fillId="0" borderId="1" pivotButton="0" quotePrefix="0" xfId="0"/>
    <xf numFmtId="0" fontId="4" fillId="3" borderId="1" pivotButton="0" quotePrefix="0" xfId="0"/>
    <xf numFmtId="166" fontId="5" fillId="3" borderId="1" pivotButton="0" quotePrefix="0" xfId="0"/>
    <xf numFmtId="165" fontId="5" fillId="3" borderId="1" pivotButton="0" quotePrefix="0" xfId="0"/>
    <xf numFmtId="165" fontId="4" fillId="3" borderId="1" pivotButton="0" quotePrefix="0" xfId="0"/>
    <xf numFmtId="167" fontId="5" fillId="3" borderId="1" pivotButton="0" quotePrefix="0" xfId="0"/>
    <xf numFmtId="0" fontId="6" fillId="3" borderId="1" pivotButton="0" quotePrefix="0" xfId="0"/>
    <xf numFmtId="165" fontId="0" fillId="0" borderId="0" pivotButton="0" quotePrefix="0" xfId="0"/>
    <xf numFmtId="0" fontId="7" fillId="4" borderId="1" applyAlignment="1" pivotButton="0" quotePrefix="0" xfId="0">
      <alignment horizontal="left" vertical="center"/>
    </xf>
    <xf numFmtId="9" fontId="7" fillId="4" borderId="1" applyAlignment="1" pivotButton="0" quotePrefix="0" xfId="0">
      <alignment horizontal="center"/>
    </xf>
    <xf numFmtId="9" fontId="4" fillId="7" borderId="1" applyAlignment="1" pivotButton="0" quotePrefix="0" xfId="0">
      <alignment horizontal="center"/>
    </xf>
    <xf numFmtId="165" fontId="0" fillId="0" borderId="1" applyAlignment="1" pivotButton="0" quotePrefix="0" xfId="0">
      <alignment horizontal="right"/>
    </xf>
    <xf numFmtId="0" fontId="7" fillId="4" borderId="1" applyAlignment="1" pivotButton="0" quotePrefix="0" xfId="0">
      <alignment horizontal="left"/>
    </xf>
    <xf numFmtId="165" fontId="0" fillId="0" borderId="1" pivotButton="0" quotePrefix="0" xfId="0"/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8" fillId="3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C33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6" customWidth="1" min="3" max="3"/>
    <col width="14" customWidth="1" min="4" max="4"/>
  </cols>
  <sheetData>
    <row r="1" ht="22" customHeight="1">
      <c r="A1" s="1" t="inlineStr">
        <is>
          <t>Zellis Holdings: value at stake from the organisational gap</t>
        </is>
      </c>
    </row>
    <row r="2">
      <c r="A2" s="2" t="inlineStr">
        <is>
          <t>Rightsizing diagnostic. Every figure traceable to a filed account; every cell a live formula.</t>
        </is>
      </c>
    </row>
    <row r="4" ht="18" customHeight="1">
      <c r="A4" s="3" t="inlineStr">
        <is>
          <t>THE ANSWER</t>
        </is>
      </c>
      <c r="B4" s="4" t="n"/>
      <c r="C4" s="4" t="n"/>
    </row>
    <row r="5" ht="30" customHeight="1">
      <c r="B5" s="5" t="inlineStr">
        <is>
          <t>Annual EBITDA at stake</t>
        </is>
      </c>
      <c r="C5" s="6">
        <f>"GBP "&amp;TEXT(Sizing!B24/1000,"0.0")&amp;"m to GBP "&amp;TEXT(Sizing!B25/1000,"0.0")&amp;"m, from two independent methods that reconcile within "&amp;TEXT(Sizing!B20,"0%")</f>
        <v/>
      </c>
    </row>
    <row r="6" ht="30" customHeight="1">
      <c r="B6" s="5" t="inlineStr">
        <is>
          <t>The gap</t>
        </is>
      </c>
      <c r="C6" s="7">
        <f>"Zellis generates GBP "&amp;TEXT(Benchmarks!B19,"0.0")&amp;"k of revenue per FTE against a peer median of GBP "&amp;TEXT(Peer_Median_RevFTE,"0.0")&amp;"k, a "&amp;TEXT(-Benchmarks!B21,"0%")&amp;" shortfall, while paying under the peer median per head (GBP "&amp;TEXT(Target_Staff/Target_FTE,"0.0")&amp;"k vs GBP "&amp;TEXT(Peer_Median_CostFTE,"0.0")&amp;"k)."</f>
        <v/>
      </c>
    </row>
    <row r="7" ht="30" customHeight="1">
      <c r="B7" s="5" t="inlineStr">
        <is>
          <t>So what</t>
        </is>
      </c>
      <c r="C7" s="7" t="inlineStr">
        <is>
          <t>The problem is output per head, not pay per head. A headcount cap would cut capacity and the wrong people; a productivity review targets spans, layers and mix.</t>
        </is>
      </c>
    </row>
    <row r="9" ht="18" customHeight="1">
      <c r="A9" s="3" t="inlineStr">
        <is>
          <t>HOW TO USE THIS FILE</t>
        </is>
      </c>
      <c r="B9" s="4" t="n"/>
      <c r="C9" s="4" t="n"/>
    </row>
    <row r="10">
      <c r="B10" s="5" t="inlineStr">
        <is>
          <t>Yellow cells</t>
        </is>
      </c>
      <c r="C10" s="8" t="inlineStr">
        <is>
          <t>The only editable inputs, all on 'Assumptions'. Everything else is a formula.</t>
        </is>
      </c>
    </row>
    <row r="11">
      <c r="B11" s="5" t="inlineStr">
        <is>
          <t>Grey headers</t>
        </is>
      </c>
      <c r="C11" s="8" t="inlineStr">
        <is>
          <t>Sourced data. Each row cites the filing and page in 'Inputs'.</t>
        </is>
      </c>
    </row>
    <row r="12">
      <c r="B12" s="5" t="inlineStr">
        <is>
          <t>Orange cells</t>
        </is>
      </c>
      <c r="C12" s="8" t="inlineStr">
        <is>
          <t>Outputs. Do not type in them.</t>
        </is>
      </c>
    </row>
    <row r="13">
      <c r="B13" s="5" t="inlineStr">
        <is>
          <t>'Checks' tab</t>
        </is>
      </c>
      <c r="C13" s="8" t="inlineStr">
        <is>
          <t>Ten integrity tests. All must read PASS before any number leaves this file.</t>
        </is>
      </c>
    </row>
    <row r="14">
      <c r="B14" s="5" t="inlineStr">
        <is>
          <t>Units</t>
        </is>
      </c>
      <c r="C14" s="8" t="inlineStr">
        <is>
          <t>GBP thousands throughout, unless a cell says 'GBP m'.</t>
        </is>
      </c>
    </row>
    <row r="16" ht="18" customHeight="1">
      <c r="A16" s="3" t="inlineStr">
        <is>
          <t>TABS</t>
        </is>
      </c>
      <c r="B16" s="4" t="n"/>
      <c r="C16" s="4" t="n"/>
    </row>
    <row r="17">
      <c r="B17" s="5" t="inlineStr">
        <is>
          <t>Inputs</t>
        </is>
      </c>
      <c r="C17" s="8" t="inlineStr">
        <is>
          <t>16 company-years, FY2021-FY2025, one row per company-year, with filing and page.</t>
        </is>
      </c>
    </row>
    <row r="18">
      <c r="B18" s="5" t="inlineStr">
        <is>
          <t>Benchmarks</t>
        </is>
      </c>
      <c r="C18" s="8" t="inlineStr">
        <is>
          <t>Each company at its latest comparable year. Peer median and quartiles computed live.</t>
        </is>
      </c>
    </row>
    <row r="19">
      <c r="B19" s="5" t="inlineStr">
        <is>
          <t>Assumptions</t>
        </is>
      </c>
      <c r="C19" s="8" t="inlineStr">
        <is>
          <t>The three judgements in this model: realisation, implementation cost, tolerance.</t>
        </is>
      </c>
    </row>
    <row r="20">
      <c r="B20" s="5" t="inlineStr">
        <is>
          <t>Sizing</t>
        </is>
      </c>
      <c r="C20" s="8" t="inlineStr">
        <is>
          <t>Method A (cost-ratio gap) and Method B (headcount implied by peer productivity).</t>
        </is>
      </c>
    </row>
    <row r="21">
      <c r="B21" s="5" t="inlineStr">
        <is>
          <t>Scenarios</t>
        </is>
      </c>
      <c r="C21" s="8" t="inlineStr">
        <is>
          <t>25th percentile, median and 75th percentile of peer revenue per FTE.</t>
        </is>
      </c>
    </row>
    <row r="22">
      <c r="B22" s="5" t="inlineStr">
        <is>
          <t>Sensitivity</t>
        </is>
      </c>
      <c r="C22" s="8" t="inlineStr">
        <is>
          <t>Net year-1 EBITDA, gap closed x cost to implement.</t>
        </is>
      </c>
    </row>
    <row r="23">
      <c r="B23" s="5" t="inlineStr">
        <is>
          <t>Checks</t>
        </is>
      </c>
      <c r="C23" s="8" t="inlineStr">
        <is>
          <t>Integrity tests across the whole file.</t>
        </is>
      </c>
    </row>
    <row r="25" ht="18" customHeight="1">
      <c r="A25" s="3" t="inlineStr">
        <is>
          <t>CAVEATS THAT COULD MOVE THE ANSWER</t>
        </is>
      </c>
      <c r="B25" s="4" t="n"/>
      <c r="C25" s="4" t="n"/>
    </row>
    <row r="26" ht="28" customHeight="1">
      <c r="C26" s="9" t="inlineStr">
        <is>
          <t>•  Entity vs group: Zellis, OneAdvanced and IRIS at group level. Access is an entity that hives up acquisitions, so its productivity is flattered by M&amp;A.</t>
        </is>
      </c>
    </row>
    <row r="27" ht="28" customHeight="1">
      <c r="C27" s="9" t="inlineStr">
        <is>
          <t>•  Vintage: each peer at its latest comparable filed year. IRIS FY2025 covers a 13.5-month first period, so FY2024 is used.</t>
        </is>
      </c>
    </row>
    <row r="28" ht="28" customHeight="1">
      <c r="C28" s="9" t="inlineStr">
        <is>
          <t>•  OneAdvanced: continuing operations only. Its application-modernisation business was sold to IBM in March 2024.</t>
        </is>
      </c>
    </row>
    <row r="29" ht="28" customHeight="1">
      <c r="C29" s="9" t="inlineStr">
        <is>
          <t>•  Restatements: OneAdvanced FY2024 restated; Zellis FY2022 headcount restated 2,129 to 2,300; IRIS FY2023 headcount restated to include contractors.</t>
        </is>
      </c>
    </row>
    <row r="30" ht="28" customHeight="1">
      <c r="C30" s="9" t="inlineStr">
        <is>
          <t>•  Public data: headcount is the filed average. It cannot show grade mix, contractors or offshore delivery, which is why the recommendation ends in management dialogues.</t>
        </is>
      </c>
    </row>
    <row r="32" ht="18" customHeight="1">
      <c r="A32" s="3" t="inlineStr">
        <is>
          <t>SOURCES</t>
        </is>
      </c>
      <c r="B32" s="4" t="n"/>
      <c r="C32" s="4" t="n"/>
    </row>
    <row r="33" ht="40" customHeight="1">
      <c r="C33" s="10" t="inlineStr">
        <is>
          <t>Companies House filing history per company number, 31 filings, FY2021-FY2025. Full log: data/data-log.md. Dataset: data/financials.csv. Findings: analysis/step-4-analysis.md. Rebuild: python data/build_model.py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O22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8" customWidth="1" min="3" max="3"/>
    <col width="11" customWidth="1" min="4" max="4"/>
    <col width="7" customWidth="1" min="5" max="5"/>
    <col width="13" customWidth="1" min="6" max="6"/>
    <col width="13" customWidth="1" min="7" max="7"/>
    <col width="9" customWidth="1" min="8" max="8"/>
    <col width="12" customWidth="1" min="9" max="9"/>
    <col width="13" customWidth="1" min="10" max="10"/>
    <col width="12" customWidth="1" min="11" max="11"/>
    <col width="30" customWidth="1" min="12" max="12"/>
    <col width="7" customWidth="1" min="13" max="13"/>
    <col width="46" customWidth="1" min="14" max="14"/>
    <col width="9" customWidth="1" min="15" max="15"/>
  </cols>
  <sheetData>
    <row r="1" ht="22" customHeight="1">
      <c r="A1" s="1" t="inlineStr">
        <is>
          <t>Inputs: filed accounts</t>
        </is>
      </c>
    </row>
    <row r="2">
      <c r="A2" s="2" t="inlineStr">
        <is>
          <t>One row per company-year. Revenue, staff costs and average headcount as filed. Ratios are formulas, never typed.</t>
        </is>
      </c>
    </row>
    <row r="4" ht="26" customHeight="1">
      <c r="A4" s="11" t="inlineStr">
        <is>
          <t>Company</t>
        </is>
      </c>
      <c r="B4" s="11" t="inlineStr">
        <is>
          <t>Role</t>
        </is>
      </c>
      <c r="C4" s="11" t="inlineStr">
        <is>
          <t>FY</t>
        </is>
      </c>
      <c r="D4" s="11" t="inlineStr">
        <is>
          <t>Period end</t>
        </is>
      </c>
      <c r="E4" s="11" t="inlineStr">
        <is>
          <t>Year</t>
        </is>
      </c>
      <c r="F4" s="11" t="inlineStr">
        <is>
          <t>Revenue GBP k</t>
        </is>
      </c>
      <c r="G4" s="11" t="inlineStr">
        <is>
          <t>Staff costs GBP k</t>
        </is>
      </c>
      <c r="H4" s="11" t="inlineStr">
        <is>
          <t>Avg FTE</t>
        </is>
      </c>
      <c r="I4" s="11" t="inlineStr">
        <is>
          <t>Revenue / FTE GBP k</t>
        </is>
      </c>
      <c r="J4" s="11" t="inlineStr">
        <is>
          <t>Staff cost % of revenue</t>
        </is>
      </c>
      <c r="K4" s="11" t="inlineStr">
        <is>
          <t>Staff cost / FTE GBP k</t>
        </is>
      </c>
      <c r="L4" s="11" t="inlineStr">
        <is>
          <t>Source file</t>
        </is>
      </c>
      <c r="M4" s="11" t="inlineStr">
        <is>
          <t>Page</t>
        </is>
      </c>
      <c r="N4" s="11" t="inlineStr">
        <is>
          <t>Note</t>
        </is>
      </c>
      <c r="O4" s="11" t="inlineStr">
        <is>
          <t>Latest FY</t>
        </is>
      </c>
    </row>
    <row r="5" ht="24" customHeight="1">
      <c r="A5" s="12" t="inlineStr">
        <is>
          <t>Zellis Holdings Limited</t>
        </is>
      </c>
      <c r="B5" s="12" t="inlineStr">
        <is>
          <t>target</t>
        </is>
      </c>
      <c r="C5" s="12" t="inlineStr">
        <is>
          <t>FY2021</t>
        </is>
      </c>
      <c r="D5" s="13" t="inlineStr">
        <is>
          <t>2021-04-30</t>
        </is>
      </c>
      <c r="E5" s="12">
        <f>YEAR(D5)</f>
        <v/>
      </c>
      <c r="F5" s="14" t="n">
        <v>159703</v>
      </c>
      <c r="G5" s="14" t="n">
        <v>92776</v>
      </c>
      <c r="H5" s="14" t="n">
        <v>2221</v>
      </c>
      <c r="I5" s="15">
        <f>F5/H5</f>
        <v/>
      </c>
      <c r="J5" s="16">
        <f>G5/F5</f>
        <v/>
      </c>
      <c r="K5" s="15">
        <f>G5/H5</f>
        <v/>
      </c>
      <c r="L5" s="17" t="inlineStr">
        <is>
          <t>10975623_FY2022</t>
        </is>
      </c>
      <c r="M5" s="17" t="inlineStr">
        <is>
          <t>rev p.36 / staff p.83</t>
        </is>
      </c>
      <c r="N5" s="17" t="inlineStr">
        <is>
          <t>comparative in FY2022 filing; comparative in FY2022 filing (wages 79068 + socsec 7771 + pension 5937); group consolidated income statement</t>
        </is>
      </c>
      <c r="O5" s="12" t="n">
        <v>0</v>
      </c>
    </row>
    <row r="6" ht="24" customHeight="1">
      <c r="A6" s="12" t="inlineStr">
        <is>
          <t>Zellis Holdings Limited</t>
        </is>
      </c>
      <c r="B6" s="12" t="inlineStr">
        <is>
          <t>target</t>
        </is>
      </c>
      <c r="C6" s="12" t="inlineStr">
        <is>
          <t>FY2022</t>
        </is>
      </c>
      <c r="D6" s="13" t="inlineStr">
        <is>
          <t>2022-04-30</t>
        </is>
      </c>
      <c r="E6" s="12">
        <f>YEAR(D6)</f>
        <v/>
      </c>
      <c r="F6" s="14" t="n">
        <v>175350</v>
      </c>
      <c r="G6" s="14" t="n">
        <v>94108</v>
      </c>
      <c r="H6" s="14" t="n">
        <v>2129</v>
      </c>
      <c r="I6" s="15">
        <f>F6/H6</f>
        <v/>
      </c>
      <c r="J6" s="16">
        <f>G6/F6</f>
        <v/>
      </c>
      <c r="K6" s="15">
        <f>G6/H6</f>
        <v/>
      </c>
      <c r="L6" s="17" t="inlineStr">
        <is>
          <t>10975623_FY2023</t>
        </is>
      </c>
      <c r="M6" s="17" t="inlineStr">
        <is>
          <t>rev p.54 / staff p.94</t>
        </is>
      </c>
      <c r="N6" s="17" t="inlineStr">
        <is>
          <t>FY2023 filing restates comparative to 2300 - noted; comparative in FY2023 filing (82165+8584+3359); group consolidated income statement</t>
        </is>
      </c>
      <c r="O6" s="12" t="n">
        <v>0</v>
      </c>
    </row>
    <row r="7" ht="24" customHeight="1">
      <c r="A7" s="12" t="inlineStr">
        <is>
          <t>Zellis Holdings Limited</t>
        </is>
      </c>
      <c r="B7" s="12" t="inlineStr">
        <is>
          <t>target</t>
        </is>
      </c>
      <c r="C7" s="12" t="inlineStr">
        <is>
          <t>FY2023</t>
        </is>
      </c>
      <c r="D7" s="13" t="inlineStr">
        <is>
          <t>2023-04-30</t>
        </is>
      </c>
      <c r="E7" s="12">
        <f>YEAR(D7)</f>
        <v/>
      </c>
      <c r="F7" s="14" t="n">
        <v>201351</v>
      </c>
      <c r="G7" s="14" t="n">
        <v>107459</v>
      </c>
      <c r="H7" s="14" t="n">
        <v>2160</v>
      </c>
      <c r="I7" s="15">
        <f>F7/H7</f>
        <v/>
      </c>
      <c r="J7" s="16">
        <f>G7/F7</f>
        <v/>
      </c>
      <c r="K7" s="15">
        <f>G7/H7</f>
        <v/>
      </c>
      <c r="L7" s="17" t="inlineStr">
        <is>
          <t>10975623_FY2023</t>
        </is>
      </c>
      <c r="M7" s="17" t="inlineStr">
        <is>
          <t>rev p.63 / staff p.94</t>
        </is>
      </c>
      <c r="N7" s="17" t="inlineStr">
        <is>
          <t>91964+10166+5329; FY2022 comparative restated (note 3)</t>
        </is>
      </c>
      <c r="O7" s="12" t="n">
        <v>0</v>
      </c>
    </row>
    <row r="8" ht="24" customHeight="1">
      <c r="A8" s="12" t="inlineStr">
        <is>
          <t>Zellis Holdings Limited</t>
        </is>
      </c>
      <c r="B8" s="12" t="inlineStr">
        <is>
          <t>target</t>
        </is>
      </c>
      <c r="C8" s="12" t="inlineStr">
        <is>
          <t>FY2024</t>
        </is>
      </c>
      <c r="D8" s="13" t="inlineStr">
        <is>
          <t>2024-04-30</t>
        </is>
      </c>
      <c r="E8" s="12">
        <f>YEAR(D8)</f>
        <v/>
      </c>
      <c r="F8" s="14" t="n">
        <v>226584</v>
      </c>
      <c r="G8" s="14" t="n">
        <v>122418</v>
      </c>
      <c r="H8" s="14" t="n">
        <v>2477</v>
      </c>
      <c r="I8" s="15">
        <f>F8/H8</f>
        <v/>
      </c>
      <c r="J8" s="16">
        <f>G8/F8</f>
        <v/>
      </c>
      <c r="K8" s="15">
        <f>G8/H8</f>
        <v/>
      </c>
      <c r="L8" s="17" t="inlineStr">
        <is>
          <t>10975623_FY2025</t>
        </is>
      </c>
      <c r="M8" s="17" t="inlineStr">
        <is>
          <t>rev p.69 / staff p.88</t>
        </is>
      </c>
      <c r="N8" s="17" t="inlineStr">
        <is>
          <t>comparative in FY2025 filing; comparative in FY2025 filing (105991+11034+5393); group consolidated income statement</t>
        </is>
      </c>
      <c r="O8" s="12" t="n">
        <v>0</v>
      </c>
    </row>
    <row r="9" ht="24" customHeight="1">
      <c r="A9" s="12" t="inlineStr">
        <is>
          <t>Zellis Holdings Limited</t>
        </is>
      </c>
      <c r="B9" s="12" t="inlineStr">
        <is>
          <t>target</t>
        </is>
      </c>
      <c r="C9" s="12" t="inlineStr">
        <is>
          <t>FY2025</t>
        </is>
      </c>
      <c r="D9" s="13" t="inlineStr">
        <is>
          <t>2025-04-30</t>
        </is>
      </c>
      <c r="E9" s="12">
        <f>YEAR(D9)</f>
        <v/>
      </c>
      <c r="F9" s="14" t="n">
        <v>261068</v>
      </c>
      <c r="G9" s="14" t="n">
        <v>136488</v>
      </c>
      <c r="H9" s="14" t="n">
        <v>2655</v>
      </c>
      <c r="I9" s="15">
        <f>F9/H9</f>
        <v/>
      </c>
      <c r="J9" s="16">
        <f>G9/F9</f>
        <v/>
      </c>
      <c r="K9" s="15">
        <f>G9/H9</f>
        <v/>
      </c>
      <c r="L9" s="17" t="inlineStr">
        <is>
          <t>10975623_FY2025</t>
        </is>
      </c>
      <c r="M9" s="17" t="inlineStr">
        <is>
          <t>rev p.65 / staff p.88</t>
        </is>
      </c>
      <c r="N9" s="17" t="inlineStr">
        <is>
          <t>116200+13731+6557; matches annual report headline GBP 261.1m; rows partially scrambled by OCR - total row clear</t>
        </is>
      </c>
      <c r="O9" s="12" t="n">
        <v>1</v>
      </c>
    </row>
    <row r="10" ht="24" customHeight="1">
      <c r="A10" s="12" t="inlineStr">
        <is>
          <t>Access UK Ltd</t>
        </is>
      </c>
      <c r="B10" s="12" t="inlineStr">
        <is>
          <t>peer</t>
        </is>
      </c>
      <c r="C10" s="12" t="inlineStr">
        <is>
          <t>FY2021</t>
        </is>
      </c>
      <c r="D10" s="13" t="inlineStr">
        <is>
          <t>2021-06-30</t>
        </is>
      </c>
      <c r="E10" s="12">
        <f>YEAR(D10)</f>
        <v/>
      </c>
      <c r="F10" s="14" t="n">
        <v>317647</v>
      </c>
      <c r="G10" s="14" t="n">
        <v>127704</v>
      </c>
      <c r="H10" s="14" t="n">
        <v>2255</v>
      </c>
      <c r="I10" s="15">
        <f>F10/H10</f>
        <v/>
      </c>
      <c r="J10" s="16">
        <f>G10/F10</f>
        <v/>
      </c>
      <c r="K10" s="15">
        <f>G10/H10</f>
        <v/>
      </c>
      <c r="L10" s="17" t="inlineStr">
        <is>
          <t>02343760_FY2021</t>
        </is>
      </c>
      <c r="M10" s="17" t="inlineStr">
        <is>
          <t>rev p.37 / staff p.39</t>
        </is>
      </c>
      <c r="N10" s="17" t="inlineStr">
        <is>
          <t>109851+13133+4720; note 4 turnover analysis (UK 302213 + Europe 6796 + RoW 8638)</t>
        </is>
      </c>
      <c r="O10" s="12" t="n">
        <v>0</v>
      </c>
    </row>
    <row r="11" ht="24" customHeight="1">
      <c r="A11" s="12" t="inlineStr">
        <is>
          <t>Access UK Ltd</t>
        </is>
      </c>
      <c r="B11" s="12" t="inlineStr">
        <is>
          <t>peer</t>
        </is>
      </c>
      <c r="C11" s="12" t="inlineStr">
        <is>
          <t>FY2022</t>
        </is>
      </c>
      <c r="D11" s="13" t="inlineStr">
        <is>
          <t>2022-06-30</t>
        </is>
      </c>
      <c r="E11" s="12">
        <f>YEAR(D11)</f>
        <v/>
      </c>
      <c r="F11" s="14" t="n">
        <v>434381</v>
      </c>
      <c r="G11" s="14" t="n">
        <v>193215</v>
      </c>
      <c r="H11" s="14" t="n">
        <v>3009</v>
      </c>
      <c r="I11" s="15">
        <f>F11/H11</f>
        <v/>
      </c>
      <c r="J11" s="16">
        <f>G11/F11</f>
        <v/>
      </c>
      <c r="K11" s="15">
        <f>G11/H11</f>
        <v/>
      </c>
      <c r="L11" s="17" t="inlineStr">
        <is>
          <t>02343760_FY2023</t>
        </is>
      </c>
      <c r="M11" s="17" t="inlineStr">
        <is>
          <t>rev p.46 / staff p.49</t>
        </is>
      </c>
      <c r="N11" s="17" t="inlineStr">
        <is>
          <t>169548+17779+5888; comparative in FY2023 filing</t>
        </is>
      </c>
      <c r="O11" s="12" t="n">
        <v>0</v>
      </c>
    </row>
    <row r="12" ht="24" customHeight="1">
      <c r="A12" s="12" t="inlineStr">
        <is>
          <t>Access UK Ltd</t>
        </is>
      </c>
      <c r="B12" s="12" t="inlineStr">
        <is>
          <t>peer</t>
        </is>
      </c>
      <c r="C12" s="12" t="inlineStr">
        <is>
          <t>FY2023</t>
        </is>
      </c>
      <c r="D12" s="13" t="inlineStr">
        <is>
          <t>2023-06-30</t>
        </is>
      </c>
      <c r="E12" s="12">
        <f>YEAR(D12)</f>
        <v/>
      </c>
      <c r="F12" s="14" t="n">
        <v>581466</v>
      </c>
      <c r="G12" s="14" t="n">
        <v>236051</v>
      </c>
      <c r="H12" s="14" t="n">
        <v>4428</v>
      </c>
      <c r="I12" s="15">
        <f>F12/H12</f>
        <v/>
      </c>
      <c r="J12" s="16">
        <f>G12/F12</f>
        <v/>
      </c>
      <c r="K12" s="15">
        <f>G12/H12</f>
        <v/>
      </c>
      <c r="L12" s="17" t="inlineStr">
        <is>
          <t>02343760_FY2023</t>
        </is>
      </c>
      <c r="M12" s="17" t="inlineStr">
        <is>
          <t>rev p.48 / staff p.49</t>
        </is>
      </c>
      <c r="N12" s="17" t="inlineStr">
        <is>
          <t>203464+24808+7779; comparative in FY2024 filing (539842+41624)</t>
        </is>
      </c>
      <c r="O12" s="12" t="n">
        <v>0</v>
      </c>
    </row>
    <row r="13" ht="24" customHeight="1">
      <c r="A13" s="12" t="inlineStr">
        <is>
          <t>Access UK Ltd</t>
        </is>
      </c>
      <c r="B13" s="12" t="inlineStr">
        <is>
          <t>peer</t>
        </is>
      </c>
      <c r="C13" s="12" t="inlineStr">
        <is>
          <t>FY2024</t>
        </is>
      </c>
      <c r="D13" s="13" t="inlineStr">
        <is>
          <t>2024-06-30</t>
        </is>
      </c>
      <c r="E13" s="12">
        <f>YEAR(D13)</f>
        <v/>
      </c>
      <c r="F13" s="14" t="n">
        <v>708813</v>
      </c>
      <c r="G13" s="14" t="n">
        <v>265270</v>
      </c>
      <c r="H13" s="14" t="n">
        <v>4429</v>
      </c>
      <c r="I13" s="15">
        <f>F13/H13</f>
        <v/>
      </c>
      <c r="J13" s="16">
        <f>G13/F13</f>
        <v/>
      </c>
      <c r="K13" s="15">
        <f>G13/H13</f>
        <v/>
      </c>
      <c r="L13" s="17" t="inlineStr">
        <is>
          <t>02343760_FY2024</t>
        </is>
      </c>
      <c r="M13" s="17" t="inlineStr">
        <is>
          <t>rev p.6 / staff p.48</t>
        </is>
      </c>
      <c r="N13" s="17" t="inlineStr">
        <is>
          <t>232201+23752+9317; strategic report confirms FY2024 708813 (FY2025 751022)</t>
        </is>
      </c>
      <c r="O13" s="12" t="n">
        <v>0</v>
      </c>
    </row>
    <row r="14" ht="24" customHeight="1">
      <c r="A14" s="12" t="inlineStr">
        <is>
          <t>Access UK Ltd</t>
        </is>
      </c>
      <c r="B14" s="12" t="inlineStr">
        <is>
          <t>peer</t>
        </is>
      </c>
      <c r="C14" s="12" t="inlineStr">
        <is>
          <t>FY2025</t>
        </is>
      </c>
      <c r="D14" s="13" t="inlineStr">
        <is>
          <t>2025-06-30</t>
        </is>
      </c>
      <c r="E14" s="12">
        <f>YEAR(D14)</f>
        <v/>
      </c>
      <c r="F14" s="14" t="n">
        <v>751022</v>
      </c>
      <c r="G14" s="14" t="n">
        <v>300058</v>
      </c>
      <c r="H14" s="14" t="n">
        <v>4591</v>
      </c>
      <c r="I14" s="15">
        <f>F14/H14</f>
        <v/>
      </c>
      <c r="J14" s="16">
        <f>G14/F14</f>
        <v/>
      </c>
      <c r="K14" s="15">
        <f>G14/H14</f>
        <v/>
      </c>
      <c r="L14" s="17" t="inlineStr">
        <is>
          <t>02343760_FY2025</t>
        </is>
      </c>
      <c r="M14" s="17" t="inlineStr">
        <is>
          <t>rev p.6 / staff p.53</t>
        </is>
      </c>
      <c r="N14" s="17" t="inlineStr">
        <is>
          <t>strategic report business review; wages 258179 (derived) + socsec 31308 + pension 10571</t>
        </is>
      </c>
      <c r="O14" s="12" t="n">
        <v>1</v>
      </c>
    </row>
    <row r="15" ht="24" customHeight="1">
      <c r="A15" s="12" t="inlineStr">
        <is>
          <t>OneAdvanced Group Limited</t>
        </is>
      </c>
      <c r="B15" s="12" t="inlineStr">
        <is>
          <t>peer</t>
        </is>
      </c>
      <c r="C15" s="12" t="inlineStr">
        <is>
          <t>FY2022</t>
        </is>
      </c>
      <c r="D15" s="13" t="inlineStr">
        <is>
          <t>2022-02-28</t>
        </is>
      </c>
      <c r="E15" s="12">
        <f>YEAR(D15)</f>
        <v/>
      </c>
      <c r="F15" s="14" t="n">
        <v>316494</v>
      </c>
      <c r="G15" s="14" t="n">
        <v>132593</v>
      </c>
      <c r="H15" s="14" t="n">
        <v>2676</v>
      </c>
      <c r="I15" s="15">
        <f>F15/H15</f>
        <v/>
      </c>
      <c r="J15" s="16">
        <f>G15/F15</f>
        <v/>
      </c>
      <c r="K15" s="15">
        <f>G15/H15</f>
        <v/>
      </c>
      <c r="L15" s="17" t="inlineStr">
        <is>
          <t>05965280_FY2023</t>
        </is>
      </c>
      <c r="M15" s="17" t="inlineStr">
        <is>
          <t>rev p.24 / staff p.44</t>
        </is>
      </c>
      <c r="N15" s="17" t="inlineStr">
        <is>
          <t>comparative in FY2023 filing</t>
        </is>
      </c>
      <c r="O15" s="12" t="n">
        <v>0</v>
      </c>
    </row>
    <row r="16" ht="24" customHeight="1">
      <c r="A16" s="12" t="inlineStr">
        <is>
          <t>OneAdvanced Group Limited</t>
        </is>
      </c>
      <c r="B16" s="12" t="inlineStr">
        <is>
          <t>peer</t>
        </is>
      </c>
      <c r="C16" s="12" t="inlineStr">
        <is>
          <t>FY2023</t>
        </is>
      </c>
      <c r="D16" s="13" t="inlineStr">
        <is>
          <t>2023-02-28</t>
        </is>
      </c>
      <c r="E16" s="12">
        <f>YEAR(D16)</f>
        <v/>
      </c>
      <c r="F16" s="14" t="n">
        <v>321708</v>
      </c>
      <c r="G16" s="14" t="n">
        <v>150689</v>
      </c>
      <c r="H16" s="14" t="n">
        <v>2960</v>
      </c>
      <c r="I16" s="15">
        <f>F16/H16</f>
        <v/>
      </c>
      <c r="J16" s="16">
        <f>G16/F16</f>
        <v/>
      </c>
      <c r="K16" s="15">
        <f>G16/H16</f>
        <v/>
      </c>
      <c r="L16" s="17" t="inlineStr">
        <is>
          <t>05965280_FY2023</t>
        </is>
      </c>
      <c r="M16" s="17" t="inlineStr">
        <is>
          <t>rev p.24 / staff p.44</t>
        </is>
      </c>
      <c r="N16" s="17" t="inlineStr">
        <is>
          <t>131312+13689+5688</t>
        </is>
      </c>
      <c r="O16" s="12" t="n">
        <v>0</v>
      </c>
    </row>
    <row r="17" ht="24" customHeight="1">
      <c r="A17" s="12" t="inlineStr">
        <is>
          <t>OneAdvanced Group Limited</t>
        </is>
      </c>
      <c r="B17" s="12" t="inlineStr">
        <is>
          <t>peer</t>
        </is>
      </c>
      <c r="C17" s="12" t="inlineStr">
        <is>
          <t>FY2024</t>
        </is>
      </c>
      <c r="D17" s="13" t="inlineStr">
        <is>
          <t>2024-02-29</t>
        </is>
      </c>
      <c r="E17" s="12">
        <f>YEAR(D17)</f>
        <v/>
      </c>
      <c r="F17" s="14" t="n">
        <v>320148</v>
      </c>
      <c r="G17" s="14" t="n">
        <v>143607</v>
      </c>
      <c r="H17" s="14" t="n">
        <v>2753</v>
      </c>
      <c r="I17" s="15">
        <f>F17/H17</f>
        <v/>
      </c>
      <c r="J17" s="16">
        <f>G17/F17</f>
        <v/>
      </c>
      <c r="K17" s="15">
        <f>G17/H17</f>
        <v/>
      </c>
      <c r="L17" s="17" t="inlineStr">
        <is>
          <t>oneadvanced_midco_fy2025</t>
        </is>
      </c>
      <c r="M17" s="17" t="inlineStr">
        <is>
          <t>rev p.29 / staff p.60</t>
        </is>
      </c>
      <c r="N17" s="17" t="inlineStr">
        <is>
          <t>continuing operations (FY2024 restated; total incl discontinued 342531); continuing operations (total incl discontinued 153846); continuing operations (total incl discontinued 2864</t>
        </is>
      </c>
      <c r="O17" s="12" t="n">
        <v>0</v>
      </c>
    </row>
    <row r="18" ht="24" customHeight="1">
      <c r="A18" s="12" t="inlineStr">
        <is>
          <t>OneAdvanced Group Limited</t>
        </is>
      </c>
      <c r="B18" s="12" t="inlineStr">
        <is>
          <t>peer</t>
        </is>
      </c>
      <c r="C18" s="12" t="inlineStr">
        <is>
          <t>FY2025</t>
        </is>
      </c>
      <c r="D18" s="13" t="inlineStr">
        <is>
          <t>2025-02-28</t>
        </is>
      </c>
      <c r="E18" s="12">
        <f>YEAR(D18)</f>
        <v/>
      </c>
      <c r="F18" s="14" t="n">
        <v>308959</v>
      </c>
      <c r="G18" s="14" t="n">
        <v>113549</v>
      </c>
      <c r="H18" s="14" t="n">
        <v>2283</v>
      </c>
      <c r="I18" s="15">
        <f>F18/H18</f>
        <v/>
      </c>
      <c r="J18" s="16">
        <f>G18/F18</f>
        <v/>
      </c>
      <c r="K18" s="15">
        <f>G18/H18</f>
        <v/>
      </c>
      <c r="L18" s="17" t="inlineStr">
        <is>
          <t>oneadvanced_midco_fy2025</t>
        </is>
      </c>
      <c r="M18" s="17" t="inlineStr">
        <is>
          <t>rev p.29 / staff p.60</t>
        </is>
      </c>
      <c r="N18" s="17" t="inlineStr">
        <is>
          <t>continuing operations (96964+11449+5136); continuing operations (total incl discontinued 2292); continuing operations (total incl discontinued 310497)</t>
        </is>
      </c>
      <c r="O18" s="12" t="n">
        <v>1</v>
      </c>
    </row>
    <row r="19" ht="24" customHeight="1">
      <c r="A19" s="12" t="inlineStr">
        <is>
          <t>IRIS Business Software Limited (group)</t>
        </is>
      </c>
      <c r="B19" s="12" t="inlineStr">
        <is>
          <t>peer</t>
        </is>
      </c>
      <c r="C19" s="12" t="inlineStr">
        <is>
          <t>FY2023</t>
        </is>
      </c>
      <c r="D19" s="13" t="inlineStr">
        <is>
          <t>2023-04-30</t>
        </is>
      </c>
      <c r="E19" s="12">
        <f>YEAR(D19)</f>
        <v/>
      </c>
      <c r="F19" s="14" t="n">
        <v>319080</v>
      </c>
      <c r="G19" s="14" t="n">
        <v>131648</v>
      </c>
      <c r="H19" s="14" t="n">
        <v>2638</v>
      </c>
      <c r="I19" s="15">
        <f>F19/H19</f>
        <v/>
      </c>
      <c r="J19" s="16">
        <f>G19/F19</f>
        <v/>
      </c>
      <c r="K19" s="15">
        <f>G19/H19</f>
        <v/>
      </c>
      <c r="L19" s="17" t="inlineStr">
        <is>
          <t>02050075_FY2024</t>
        </is>
      </c>
      <c r="M19" s="17" t="inlineStr">
        <is>
          <t>rev p.39 / staff p.55</t>
        </is>
      </c>
      <c r="N19" s="17" t="inlineStr">
        <is>
          <t>comparative in FY2024 filing; restated basis incl contractors</t>
        </is>
      </c>
      <c r="O19" s="12" t="n">
        <v>0</v>
      </c>
    </row>
    <row r="20" ht="24" customHeight="1">
      <c r="A20" s="12" t="inlineStr">
        <is>
          <t>IRIS Business Software Limited (group)</t>
        </is>
      </c>
      <c r="B20" s="12" t="inlineStr">
        <is>
          <t>peer</t>
        </is>
      </c>
      <c r="C20" s="12" t="inlineStr">
        <is>
          <t>FY2024</t>
        </is>
      </c>
      <c r="D20" s="13" t="inlineStr">
        <is>
          <t>2024-04-30</t>
        </is>
      </c>
      <c r="E20" s="12">
        <f>YEAR(D20)</f>
        <v/>
      </c>
      <c r="F20" s="14" t="n">
        <v>373544</v>
      </c>
      <c r="G20" s="14" t="n">
        <v>161282</v>
      </c>
      <c r="H20" s="14" t="n">
        <v>2986</v>
      </c>
      <c r="I20" s="15">
        <f>F20/H20</f>
        <v/>
      </c>
      <c r="J20" s="16">
        <f>G20/F20</f>
        <v/>
      </c>
      <c r="K20" s="15">
        <f>G20/H20</f>
        <v/>
      </c>
      <c r="L20" s="17" t="inlineStr">
        <is>
          <t>02050075_FY2024</t>
        </is>
      </c>
      <c r="M20" s="17" t="inlineStr">
        <is>
          <t>rev p.39 / staff p.55</t>
        </is>
      </c>
      <c r="N20" s="17" t="inlineStr">
        <is>
          <t>IRIS Debtco consolidated income statement; FY2023 comparative 319080; staff note p55; components sum 160505 - OCR uncertainty ~1m; FY2023 131648; totals row OCR-swapped - component</t>
        </is>
      </c>
      <c r="O20" s="12" t="n">
        <v>1</v>
      </c>
    </row>
    <row r="22">
      <c r="A22" s="18" t="inlineStr">
        <is>
          <t>Sage Group plc is downloaded in the manifest but excluded here: as a listed company it is a valuation anchor, not an org peer.</t>
        </is>
      </c>
    </row>
  </sheetData>
  <autoFilter ref="A4:O20"/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J27"/>
  <sheetViews>
    <sheetView showGridLines="0" zoomScale="100"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8" customWidth="1" min="3" max="3"/>
    <col width="14" customWidth="1" min="4" max="4"/>
    <col width="14" customWidth="1" min="5" max="5"/>
    <col width="9" customWidth="1" min="6" max="6"/>
    <col width="13" customWidth="1" min="7" max="7"/>
    <col width="14" customWidth="1" min="8" max="8"/>
    <col width="14" customWidth="1" min="9" max="9"/>
    <col width="34" customWidth="1" min="10" max="10"/>
  </cols>
  <sheetData>
    <row r="1" ht="22" customHeight="1">
      <c r="A1" s="1" t="inlineStr">
        <is>
          <t>Benchmarks: one row per company, latest comparable year</t>
        </is>
      </c>
    </row>
    <row r="2">
      <c r="A2" s="2" t="inlineStr">
        <is>
          <t>Peer statistics are computed from this block. Changing a figure in 'Inputs' flows through.</t>
        </is>
      </c>
    </row>
    <row r="4" ht="26" customHeight="1">
      <c r="A4" s="11" t="inlineStr">
        <is>
          <t>Company</t>
        </is>
      </c>
      <c r="B4" s="11" t="inlineStr">
        <is>
          <t>Basis</t>
        </is>
      </c>
      <c r="C4" s="11" t="inlineStr">
        <is>
          <t>FY</t>
        </is>
      </c>
      <c r="D4" s="11" t="inlineStr">
        <is>
          <t>Revenue GBP k</t>
        </is>
      </c>
      <c r="E4" s="11" t="inlineStr">
        <is>
          <t>Staff costs GBP k</t>
        </is>
      </c>
      <c r="F4" s="11" t="inlineStr">
        <is>
          <t>Avg FTE</t>
        </is>
      </c>
      <c r="G4" s="11" t="inlineStr">
        <is>
          <t>Revenue / FTE GBP k</t>
        </is>
      </c>
      <c r="H4" s="11" t="inlineStr">
        <is>
          <t>Staff cost % of revenue</t>
        </is>
      </c>
      <c r="I4" s="11" t="inlineStr">
        <is>
          <t>Staff cost / FTE GBP k</t>
        </is>
      </c>
      <c r="J4" s="11" t="inlineStr">
        <is>
          <t>Ownership</t>
        </is>
      </c>
    </row>
    <row r="5">
      <c r="A5" s="19" t="inlineStr">
        <is>
          <t>Zellis Holdings Limited</t>
        </is>
      </c>
      <c r="B5" s="20" t="inlineStr">
        <is>
          <t>Group consolidated</t>
        </is>
      </c>
      <c r="C5" s="20">
        <f>Inputs!C9</f>
        <v/>
      </c>
      <c r="D5" s="21">
        <f>Inputs!F9</f>
        <v/>
      </c>
      <c r="E5" s="21">
        <f>Inputs!G9</f>
        <v/>
      </c>
      <c r="F5" s="21">
        <f>Inputs!H9</f>
        <v/>
      </c>
      <c r="G5" s="22">
        <f>D5/F5</f>
        <v/>
      </c>
      <c r="H5" s="23">
        <f>E5/D5</f>
        <v/>
      </c>
      <c r="I5" s="22">
        <f>E5/F5</f>
        <v/>
      </c>
      <c r="J5" s="24" t="inlineStr">
        <is>
          <t>Apax + Vitruvian (Apr 2024, GBP 1.25bn)</t>
        </is>
      </c>
    </row>
    <row r="6">
      <c r="A6" s="12" t="inlineStr">
        <is>
          <t>Access UK Ltd</t>
        </is>
      </c>
      <c r="B6" s="12" t="inlineStr">
        <is>
          <t>Entity, roll-up</t>
        </is>
      </c>
      <c r="C6" s="12">
        <f>Inputs!C14</f>
        <v/>
      </c>
      <c r="D6" s="14">
        <f>Inputs!F14</f>
        <v/>
      </c>
      <c r="E6" s="14">
        <f>Inputs!G14</f>
        <v/>
      </c>
      <c r="F6" s="14">
        <f>Inputs!H14</f>
        <v/>
      </c>
      <c r="G6" s="15">
        <f>D6/F6</f>
        <v/>
      </c>
      <c r="H6" s="16">
        <f>E6/D6</f>
        <v/>
      </c>
      <c r="I6" s="15">
        <f>E6/F6</f>
        <v/>
      </c>
      <c r="J6" s="17" t="inlineStr">
        <is>
          <t>Hg Capital</t>
        </is>
      </c>
    </row>
    <row r="7">
      <c r="A7" s="12" t="inlineStr">
        <is>
          <t>OneAdvanced Group Limited</t>
        </is>
      </c>
      <c r="B7" s="12" t="inlineStr">
        <is>
          <t>Group consolidated</t>
        </is>
      </c>
      <c r="C7" s="12">
        <f>Inputs!C18</f>
        <v/>
      </c>
      <c r="D7" s="14">
        <f>Inputs!F18</f>
        <v/>
      </c>
      <c r="E7" s="14">
        <f>Inputs!G18</f>
        <v/>
      </c>
      <c r="F7" s="14">
        <f>Inputs!H18</f>
        <v/>
      </c>
      <c r="G7" s="15">
        <f>D7/F7</f>
        <v/>
      </c>
      <c r="H7" s="16">
        <f>E7/D7</f>
        <v/>
      </c>
      <c r="I7" s="15">
        <f>E7/F7</f>
        <v/>
      </c>
      <c r="J7" s="17" t="inlineStr">
        <is>
          <t>Vista + BC Partners</t>
        </is>
      </c>
    </row>
    <row r="8">
      <c r="A8" s="12" t="inlineStr">
        <is>
          <t>IRIS Business Software Limited (group)</t>
        </is>
      </c>
      <c r="B8" s="12" t="inlineStr">
        <is>
          <t>Group via s401 PARENT_ACC</t>
        </is>
      </c>
      <c r="C8" s="12">
        <f>Inputs!C20</f>
        <v/>
      </c>
      <c r="D8" s="14">
        <f>Inputs!F20</f>
        <v/>
      </c>
      <c r="E8" s="14">
        <f>Inputs!G20</f>
        <v/>
      </c>
      <c r="F8" s="14">
        <f>Inputs!H20</f>
        <v/>
      </c>
      <c r="G8" s="15">
        <f>D8/F8</f>
        <v/>
      </c>
      <c r="H8" s="16">
        <f>E8/D8</f>
        <v/>
      </c>
      <c r="I8" s="15">
        <f>E8/F8</f>
        <v/>
      </c>
      <c r="J8" s="17" t="inlineStr">
        <is>
          <t>Hg + Leonard Green</t>
        </is>
      </c>
    </row>
    <row r="11" ht="18" customHeight="1">
      <c r="A11" s="3" t="inlineStr">
        <is>
          <t>PEER STATISTICS (live)</t>
        </is>
      </c>
      <c r="B11" s="4" t="n"/>
      <c r="C11" s="4" t="n"/>
      <c r="D11" s="4" t="n"/>
      <c r="E11" s="4" t="n"/>
      <c r="F11" s="4" t="n"/>
    </row>
    <row r="12">
      <c r="A12" s="8" t="inlineStr">
        <is>
          <t>Peer median revenue per FTE (GBP k)</t>
        </is>
      </c>
      <c r="B12" s="25">
        <f>MEDIAN(G6:G8)</f>
        <v/>
      </c>
    </row>
    <row r="13">
      <c r="A13" s="8" t="inlineStr">
        <is>
          <t>Peer 25th percentile revenue per FTE (GBP k)</t>
        </is>
      </c>
      <c r="B13" s="25">
        <f>QUARTILE(G6:G8,1)</f>
        <v/>
      </c>
    </row>
    <row r="14">
      <c r="A14" s="8" t="inlineStr">
        <is>
          <t>Peer 75th percentile revenue per FTE (GBP k)</t>
        </is>
      </c>
      <c r="B14" s="25">
        <f>QUARTILE(G6:G8,3)</f>
        <v/>
      </c>
    </row>
    <row r="15">
      <c r="A15" s="8" t="inlineStr">
        <is>
          <t>Peer median staff cost % of revenue</t>
        </is>
      </c>
      <c r="B15" s="26">
        <f>MEDIAN(H6:H8)</f>
        <v/>
      </c>
    </row>
    <row r="16">
      <c r="A16" s="8" t="inlineStr">
        <is>
          <t>Peer median staff cost per FTE (GBP k)</t>
        </is>
      </c>
      <c r="B16" s="25">
        <f>MEDIAN(I6:I8)</f>
        <v/>
      </c>
    </row>
    <row r="18" ht="18" customHeight="1">
      <c r="A18" s="3" t="inlineStr">
        <is>
          <t>TARGET VERSUS PEERS</t>
        </is>
      </c>
      <c r="B18" s="4" t="n"/>
      <c r="C18" s="4" t="n"/>
      <c r="D18" s="4" t="n"/>
      <c r="E18" s="4" t="n"/>
      <c r="F18" s="4" t="n"/>
    </row>
    <row r="19">
      <c r="A19" s="8" t="inlineStr">
        <is>
          <t>Target revenue per FTE (GBP k)</t>
        </is>
      </c>
      <c r="B19" s="27">
        <f>G5</f>
        <v/>
      </c>
    </row>
    <row r="20">
      <c r="A20" s="8" t="inlineStr">
        <is>
          <t>Gap to peer median (GBP k per FTE)</t>
        </is>
      </c>
      <c r="B20" s="27">
        <f>G5-B12</f>
        <v/>
      </c>
    </row>
    <row r="21">
      <c r="A21" s="8" t="inlineStr">
        <is>
          <t>Gap to peer median (%)</t>
        </is>
      </c>
      <c r="B21" s="28">
        <f>G5/B12-1</f>
        <v/>
      </c>
    </row>
    <row r="22">
      <c r="A22" s="8" t="inlineStr">
        <is>
          <t>Target staff cost % of revenue</t>
        </is>
      </c>
      <c r="B22" s="28">
        <f>H5</f>
        <v/>
      </c>
    </row>
    <row r="23">
      <c r="A23" s="8" t="inlineStr">
        <is>
          <t>Staff-cost ratio gap versus peers (pts)</t>
        </is>
      </c>
      <c r="B23" s="28">
        <f>H5-B15</f>
        <v/>
      </c>
    </row>
    <row r="24">
      <c r="A24" s="8" t="inlineStr">
        <is>
          <t>Target staff cost per FTE (GBP k)</t>
        </is>
      </c>
      <c r="B24" s="27">
        <f>I5</f>
        <v/>
      </c>
    </row>
    <row r="25">
      <c r="A25" s="8" t="inlineStr">
        <is>
          <t>Target pays versus peer median (%)</t>
        </is>
      </c>
      <c r="B25" s="28">
        <f>I5/B16-1</f>
        <v/>
      </c>
    </row>
    <row r="27">
      <c r="A27" s="18" t="inlineStr">
        <is>
          <t>n = 3 peers, so quartiles are interpolated (inclusive method). Sage is excluded: listed scale and a different filing basis.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C11"/>
  <sheetViews>
    <sheetView showGridLines="0" zoomScale="10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70" customWidth="1" min="3" max="3"/>
  </cols>
  <sheetData>
    <row r="1" ht="22" customHeight="1">
      <c r="A1" s="1" t="inlineStr">
        <is>
          <t>Assumptions: the only editable cells</t>
        </is>
      </c>
    </row>
    <row r="2">
      <c r="A2" s="2" t="inlineStr">
        <is>
          <t>Three judgements. Everything else in the file is sourced data or arithmetic.</t>
        </is>
      </c>
    </row>
    <row r="4" ht="18" customHeight="1">
      <c r="A4" s="3" t="inlineStr">
        <is>
          <t>DRIVERS</t>
        </is>
      </c>
      <c r="B4" s="4" t="n"/>
      <c r="C4" s="4" t="n"/>
    </row>
    <row r="5" ht="34" customHeight="1">
      <c r="A5" s="8" t="inlineStr">
        <is>
          <t>Benefits realised in year 1 (%)</t>
        </is>
      </c>
      <c r="B5" s="29" t="n">
        <v>0.6</v>
      </c>
      <c r="C5" s="10" t="inlineStr">
        <is>
          <t>A rightsizing programme does not land on day one: hiring freezes, attrition and redeployment take 3-4 quarters.</t>
        </is>
      </c>
    </row>
    <row r="6" ht="34" customHeight="1">
      <c r="A6" s="8" t="inlineStr">
        <is>
          <t>Cost to implement (% of annualised benefit, one-off)</t>
        </is>
      </c>
      <c r="B6" s="29" t="n">
        <v>0.25</v>
      </c>
      <c r="C6" s="10" t="inlineStr">
        <is>
          <t>Severance, programme office, interim management. Paid once, so it is subtracted, not multiplied into the benefit.</t>
        </is>
      </c>
    </row>
    <row r="7" ht="34" customHeight="1">
      <c r="A7" s="8" t="inlineStr">
        <is>
          <t>Reconciliation tolerance between methods (%)</t>
        </is>
      </c>
      <c r="B7" s="29" t="n">
        <v>0.2</v>
      </c>
      <c r="C7" s="10" t="inlineStr">
        <is>
          <t>If Method A and Method B disagree by more than this, the peer set or the basis is wrong and the answer is not published.</t>
        </is>
      </c>
    </row>
    <row r="10" ht="18" customHeight="1">
      <c r="A10" s="3" t="inlineStr">
        <is>
          <t>WHY THESE ARE JUDGEMENTS, NOT FACTS</t>
        </is>
      </c>
      <c r="B10" s="4" t="n"/>
      <c r="C10" s="4" t="n"/>
    </row>
    <row r="11" ht="46" customHeight="1">
      <c r="A11" s="9" t="inlineStr">
        <is>
          <t>No filed account contains a realisation curve or a severance bill. These three numbers are stated openly so a reviewer can move them and watch the answer change, rather than finding them buried in a formula.</t>
        </is>
      </c>
    </row>
  </sheetData>
  <mergeCells count="1">
    <mergeCell ref="A11:C11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35"/>
  <sheetViews>
    <sheetView showGridLines="0" zoomScale="10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60" customWidth="1" min="4" max="4"/>
  </cols>
  <sheetData>
    <row r="1" ht="22" customHeight="1">
      <c r="A1" s="1" t="inlineStr">
        <is>
          <t>Sizing: two independent routes to the same number</t>
        </is>
      </c>
    </row>
    <row r="2">
      <c r="A2" s="2" t="inlineStr">
        <is>
          <t>Method A prices the gap off the cost ratio. Method B prices it off headcount implied by peer productivity. They must agree.</t>
        </is>
      </c>
    </row>
    <row r="4" ht="18" customHeight="1">
      <c r="A4" s="30" t="inlineStr">
        <is>
          <t>METHOD A: STAFF-COST-RATIO GAP x REVENUE</t>
        </is>
      </c>
      <c r="B4" s="4" t="n"/>
      <c r="C4" s="4" t="n"/>
    </row>
    <row r="5">
      <c r="A5" s="31" t="inlineStr">
        <is>
          <t>Target staff cost % of revenue</t>
        </is>
      </c>
      <c r="B5" s="32">
        <f>Target_Staff/Target_Revenue</f>
        <v/>
      </c>
    </row>
    <row r="6">
      <c r="A6" s="31" t="inlineStr">
        <is>
          <t>Peer median staff cost % of revenue</t>
        </is>
      </c>
      <c r="B6" s="32">
        <f>Peer_Median_StaffPct</f>
        <v/>
      </c>
    </row>
    <row r="7">
      <c r="A7" s="31" t="inlineStr">
        <is>
          <t>Ratio gap (target minus median)</t>
        </is>
      </c>
      <c r="B7" s="32">
        <f>B5-B6</f>
        <v/>
      </c>
    </row>
    <row r="8">
      <c r="A8" s="31" t="inlineStr">
        <is>
          <t>Target revenue (GBP k)</t>
        </is>
      </c>
      <c r="B8" s="33">
        <f>Target_Revenue</f>
        <v/>
      </c>
    </row>
    <row r="9">
      <c r="A9" s="34" t="inlineStr">
        <is>
          <t>VALUE AT STAKE: Method A (GBP k)</t>
        </is>
      </c>
      <c r="B9" s="35">
        <f>B7*B8</f>
        <v/>
      </c>
      <c r="D9" s="36" t="inlineStr">
        <is>
          <t>Reads: if Zellis carried peers' staff-cost ratio at its own revenue, the difference is margin.</t>
        </is>
      </c>
    </row>
    <row r="10"/>
    <row r="11" ht="18" customHeight="1">
      <c r="A11" s="30" t="inlineStr">
        <is>
          <t>METHOD B: HEADCOUNT IMPLIED BY PEER PRODUCTIVITY</t>
        </is>
      </c>
      <c r="B11" s="4" t="n"/>
      <c r="C11" s="4" t="n"/>
    </row>
    <row r="12">
      <c r="A12" s="31" t="inlineStr">
        <is>
          <t>Target average FTE</t>
        </is>
      </c>
      <c r="B12" s="33">
        <f>Target_FTE</f>
        <v/>
      </c>
    </row>
    <row r="13">
      <c r="A13" s="31" t="inlineStr">
        <is>
          <t>FTE implied at the peer median revenue per FTE</t>
        </is>
      </c>
      <c r="B13" s="33">
        <f>Target_Revenue/Peer_Median_RevFTE</f>
        <v/>
      </c>
    </row>
    <row r="14">
      <c r="A14" s="31" t="inlineStr">
        <is>
          <t>FTE delta (target minus implied)</t>
        </is>
      </c>
      <c r="B14" s="33">
        <f>B12-B13</f>
        <v/>
      </c>
    </row>
    <row r="15">
      <c r="A15" s="31" t="inlineStr">
        <is>
          <t>Target staff cost per FTE (GBP k)</t>
        </is>
      </c>
      <c r="B15" s="37">
        <f>Target_Staff/Target_FTE</f>
        <v/>
      </c>
    </row>
    <row r="16">
      <c r="A16" s="34" t="inlineStr">
        <is>
          <t>VALUE AT STAKE: Method B (GBP k)</t>
        </is>
      </c>
      <c r="B16" s="35">
        <f>B14*B15</f>
        <v/>
      </c>
      <c r="D16" s="36" t="inlineStr">
        <is>
          <t>Reads: at peers' revenue per FTE, Zellis would need this many fewer people to deliver today's revenue.</t>
        </is>
      </c>
    </row>
    <row r="17"/>
    <row r="18" ht="18" customHeight="1">
      <c r="A18" s="30" t="inlineStr">
        <is>
          <t>CROSS-CHECK</t>
        </is>
      </c>
      <c r="B18" s="4" t="n"/>
      <c r="C18" s="4" t="n"/>
    </row>
    <row r="19">
      <c r="A19" s="31" t="inlineStr">
        <is>
          <t>Absolute difference (GBP k)</t>
        </is>
      </c>
      <c r="B19" s="38">
        <f>ABS(B9-B16)</f>
        <v/>
      </c>
    </row>
    <row r="20">
      <c r="A20" s="31" t="inlineStr">
        <is>
          <t>Difference as % of Method A</t>
        </is>
      </c>
      <c r="B20" s="39">
        <f>B19/B9</f>
        <v/>
      </c>
    </row>
    <row r="21" ht="40" customHeight="1">
      <c r="A21" s="34" t="inlineStr">
        <is>
          <t>Verdict</t>
        </is>
      </c>
      <c r="B21" s="40">
        <f>IF(B20&lt;=Check_Tolerance,"RECONCILED","INVESTIGATE")</f>
        <v/>
      </c>
      <c r="C21" s="36" t="inlineStr">
        <is>
          <t>The two routes disagree because they use different peer statistics: the cost ratio and revenue per FTE are not the same distribution. Agreement within tolerance means the answer is not an artefact of one metric.</t>
        </is>
      </c>
    </row>
    <row r="22"/>
    <row r="23" ht="18" customHeight="1">
      <c r="A23" s="30" t="inlineStr">
        <is>
          <t>THE NUMBER WE CARRY FORWARD</t>
        </is>
      </c>
      <c r="B23" s="4" t="n"/>
      <c r="C23" s="4" t="n"/>
    </row>
    <row r="24">
      <c r="A24" s="31" t="inlineStr">
        <is>
          <t>Low end (Method A)</t>
        </is>
      </c>
      <c r="B24" s="33">
        <f>MIN(B9,B16)</f>
        <v/>
      </c>
    </row>
    <row r="25">
      <c r="A25" s="31" t="inlineStr">
        <is>
          <t>High end (Method B)</t>
        </is>
      </c>
      <c r="B25" s="33">
        <f>MAX(B9,B16)</f>
        <v/>
      </c>
    </row>
    <row r="26">
      <c r="A26" s="34" t="inlineStr">
        <is>
          <t>Midpoint used in the deck</t>
        </is>
      </c>
      <c r="B26" s="35">
        <f>AVERAGE(B9,B16)</f>
        <v/>
      </c>
    </row>
    <row r="27">
      <c r="A27" s="31" t="inlineStr">
        <is>
          <t>Midpoint as % of revenue</t>
        </is>
      </c>
      <c r="B27" s="32">
        <f>C25/B8</f>
        <v/>
      </c>
    </row>
    <row r="28">
      <c r="A28" s="31" t="inlineStr">
        <is>
          <t>Midpoint as % of staff cost</t>
        </is>
      </c>
      <c r="B28" s="32">
        <f>C25/Target_Staff</f>
        <v/>
      </c>
    </row>
    <row r="29"/>
    <row r="30" ht="18" customHeight="1">
      <c r="A30" s="30" t="inlineStr">
        <is>
          <t>YEAR 1: WHAT ACTUALLY LANDS</t>
        </is>
      </c>
      <c r="B30" s="4" t="n"/>
      <c r="C30" s="4" t="n"/>
    </row>
    <row r="31">
      <c r="A31" s="31" t="inlineStr">
        <is>
          <t>Annualised benefit (midpoint)</t>
        </is>
      </c>
      <c r="B31" s="33">
        <f>B26</f>
        <v/>
      </c>
    </row>
    <row r="32">
      <c r="A32" s="31" t="inlineStr">
        <is>
          <t>Realisation in year 1</t>
        </is>
      </c>
      <c r="B32" s="41">
        <f>Realisation_Y1</f>
        <v/>
      </c>
    </row>
    <row r="33">
      <c r="A33" s="31" t="inlineStr">
        <is>
          <t>Year-1 gross benefit</t>
        </is>
      </c>
      <c r="B33" s="33">
        <f>B31*B32</f>
        <v/>
      </c>
    </row>
    <row r="34">
      <c r="A34" s="31" t="inlineStr">
        <is>
          <t>One-off implementation cost</t>
        </is>
      </c>
      <c r="B34" s="33">
        <f>B31*One_Off_Cost_Pct</f>
        <v/>
      </c>
    </row>
    <row r="35">
      <c r="A35" s="34" t="inlineStr">
        <is>
          <t>Year-1 net EBITDA impact</t>
        </is>
      </c>
      <c r="B35" s="35">
        <f>B33-B34</f>
        <v/>
      </c>
      <c r="D35" s="36" t="inlineStr">
        <is>
          <t>One-off cost is subtracted once. It is not a percentage of the benefit in perpetuity, which is the most common error in rightsizing models.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14"/>
  <sheetViews>
    <sheetView showGridLines="0" zoomScale="10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5" customWidth="1" min="5" max="5"/>
    <col width="13" customWidth="1" min="6" max="6"/>
    <col width="60" customWidth="1" min="7" max="7"/>
  </cols>
  <sheetData>
    <row r="1" ht="22" customHeight="1">
      <c r="A1" s="1" t="inlineStr">
        <is>
          <t>Scenarios: anchored to the peer distribution</t>
        </is>
      </c>
    </row>
    <row r="2">
      <c r="A2" s="2" t="inlineStr">
        <is>
          <t>Each case asks what happens if Zellis reaches a different point in the peer revenue-per-FTE distribution. No arbitrary percentages.</t>
        </is>
      </c>
    </row>
    <row r="4" ht="34" customHeight="1">
      <c r="A4" s="11" t="inlineStr">
        <is>
          <t>Scenario</t>
        </is>
      </c>
      <c r="B4" s="11" t="inlineStr">
        <is>
          <t>Anchor revenue / FTE GBP k</t>
        </is>
      </c>
      <c r="C4" s="11" t="inlineStr">
        <is>
          <t>Implied FTE at anchor</t>
        </is>
      </c>
      <c r="D4" s="11" t="inlineStr">
        <is>
          <t>FTE delta versus today</t>
        </is>
      </c>
      <c r="E4" s="11" t="inlineStr">
        <is>
          <t>Annual benefit GBP k</t>
        </is>
      </c>
      <c r="F4" s="11" t="inlineStr">
        <is>
          <t>Benefit as % of staff cost</t>
        </is>
      </c>
      <c r="G4" s="11" t="inlineStr">
        <is>
          <t>What it means</t>
        </is>
      </c>
    </row>
    <row r="5" ht="28" customHeight="1">
      <c r="A5" s="42" t="inlineStr">
        <is>
          <t>Conservative</t>
        </is>
      </c>
      <c r="B5" s="15">
        <f>Peer_P25_RevFTE</f>
        <v/>
      </c>
      <c r="C5" s="14">
        <f>Target_Revenue/B5</f>
        <v/>
      </c>
      <c r="D5" s="14">
        <f>Target_FTE-C5</f>
        <v/>
      </c>
      <c r="E5" s="43">
        <f>D5*Target_Staff/Target_FTE</f>
        <v/>
      </c>
      <c r="F5" s="16">
        <f>E5/Target_Staff</f>
        <v/>
      </c>
      <c r="G5" s="17" t="inlineStr">
        <is>
          <t>Reach the peer 25th percentile: the weakest quartile.</t>
        </is>
      </c>
    </row>
    <row r="6" ht="28" customHeight="1">
      <c r="A6" s="44" t="inlineStr">
        <is>
          <t>Base</t>
        </is>
      </c>
      <c r="B6" s="45">
        <f>Peer_Median_RevFTE</f>
        <v/>
      </c>
      <c r="C6" s="46">
        <f>Target_Revenue/B6</f>
        <v/>
      </c>
      <c r="D6" s="46">
        <f>Target_FTE-C6</f>
        <v/>
      </c>
      <c r="E6" s="47">
        <f>D6*Target_Staff/Target_FTE</f>
        <v/>
      </c>
      <c r="F6" s="48">
        <f>E6/Target_Staff</f>
        <v/>
      </c>
      <c r="G6" s="49" t="inlineStr">
        <is>
          <t>Reach the peer median, the number used in the deck.</t>
        </is>
      </c>
    </row>
    <row r="7" ht="28" customHeight="1">
      <c r="A7" s="42" t="inlineStr">
        <is>
          <t>Stretch</t>
        </is>
      </c>
      <c r="B7" s="15">
        <f>Peer_P75_RevFTE</f>
        <v/>
      </c>
      <c r="C7" s="14">
        <f>Target_Revenue/B7</f>
        <v/>
      </c>
      <c r="D7" s="14">
        <f>Target_FTE-C7</f>
        <v/>
      </c>
      <c r="E7" s="43">
        <f>D7*Target_Staff/Target_FTE</f>
        <v/>
      </c>
      <c r="F7" s="16">
        <f>E7/Target_Staff</f>
        <v/>
      </c>
      <c r="G7" s="17" t="inlineStr">
        <is>
          <t>Reach the peer 75th percentile: best-in-peer-set productivity.</t>
        </is>
      </c>
    </row>
    <row r="9" ht="18" customHeight="1">
      <c r="A9" s="3" t="inlineStr">
        <is>
          <t>HOW TO READ THIS</t>
        </is>
      </c>
      <c r="B9" s="4" t="n"/>
      <c r="C9" s="4" t="n"/>
      <c r="D9" s="4" t="n"/>
      <c r="E9" s="4" t="n"/>
      <c r="F9" s="4" t="n"/>
      <c r="G9" s="4" t="n"/>
    </row>
    <row r="10" ht="46" customHeight="1">
      <c r="A10" s="9" t="inlineStr">
        <is>
          <t>The two methods on 'Sizing' are not repeated here: at a fixed revenue-per-FTE anchor, the cost-ratio route and the headcount route are the same algebra, so showing both would fake a robustness we do not have. The honest range comes from the distribution of peers, which is what this table varies.</t>
        </is>
      </c>
    </row>
    <row r="12">
      <c r="A12" s="5" t="inlineStr">
        <is>
          <t>Cross-check against Sizing</t>
        </is>
      </c>
    </row>
    <row r="13">
      <c r="A13" s="8" t="inlineStr">
        <is>
          <t>Base scenario benefit minus Sizing midpoint (GBP k)</t>
        </is>
      </c>
      <c r="B13" s="50">
        <f>E6-Sizing!B26</f>
        <v/>
      </c>
    </row>
    <row r="14">
      <c r="A14" s="8" t="inlineStr">
        <is>
          <t>Base scenario versus Method B gap</t>
        </is>
      </c>
      <c r="B14" s="50">
        <f>E6-Sizing!B16</f>
        <v/>
      </c>
    </row>
  </sheetData>
  <mergeCells count="1">
    <mergeCell ref="A10:G10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16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" customWidth="1" min="7" max="7"/>
    <col width="60" customWidth="1" min="8" max="8"/>
  </cols>
  <sheetData>
    <row r="1" ht="22" customHeight="1">
      <c r="A1" s="1" t="inlineStr">
        <is>
          <t>Sensitivity: net year-1 EBITDA impact</t>
        </is>
      </c>
    </row>
    <row r="2">
      <c r="A2" s="2" t="inlineStr">
        <is>
          <t>Rows: share of the productivity gap actually closed. Columns: one-off implementation cost as a share of annualised benefit.</t>
        </is>
      </c>
    </row>
    <row r="4" ht="60" customHeight="1">
      <c r="A4" s="51" t="inlineStr">
        <is>
          <t>Gap closed \ cost to implement</t>
        </is>
      </c>
      <c r="B4" s="52" t="n">
        <v>0.1</v>
      </c>
      <c r="C4" s="52" t="n">
        <v>0.2</v>
      </c>
      <c r="D4" s="52" t="n">
        <v>0.3</v>
      </c>
      <c r="E4" s="52" t="n">
        <v>0.4</v>
      </c>
      <c r="F4" s="52" t="n">
        <v>0.5</v>
      </c>
      <c r="H4" s="10" t="inlineStr">
        <is>
          <t>Each cell = annualised benefit x gap closed x (realisation in year 1 minus one-off cost as a share of annualised benefit). Negative cells mean the programme costs more in year 1 than it returns.</t>
        </is>
      </c>
    </row>
    <row r="5">
      <c r="A5" s="53" t="n">
        <v>0.25</v>
      </c>
      <c r="B5" s="54">
        <f>Sizing!$B$26*$A5*(Realisation_Y1-B$4)</f>
        <v/>
      </c>
      <c r="C5" s="54">
        <f>Sizing!$B$26*$A5*(Realisation_Y1-C$4)</f>
        <v/>
      </c>
      <c r="D5" s="54">
        <f>Sizing!$B$26*$A5*(Realisation_Y1-D$4)</f>
        <v/>
      </c>
      <c r="E5" s="54">
        <f>Sizing!$B$26*$A5*(Realisation_Y1-E$4)</f>
        <v/>
      </c>
      <c r="F5" s="54">
        <f>Sizing!$B$26*$A5*(Realisation_Y1-F$4)</f>
        <v/>
      </c>
    </row>
    <row r="6">
      <c r="A6" s="53" t="n">
        <v>0.5</v>
      </c>
      <c r="B6" s="54">
        <f>Sizing!$B$26*$A6*(Realisation_Y1-B$4)</f>
        <v/>
      </c>
      <c r="C6" s="54">
        <f>Sizing!$B$26*$A6*(Realisation_Y1-C$4)</f>
        <v/>
      </c>
      <c r="D6" s="54">
        <f>Sizing!$B$26*$A6*(Realisation_Y1-D$4)</f>
        <v/>
      </c>
      <c r="E6" s="54">
        <f>Sizing!$B$26*$A6*(Realisation_Y1-E$4)</f>
        <v/>
      </c>
      <c r="F6" s="54">
        <f>Sizing!$B$26*$A6*(Realisation_Y1-F$4)</f>
        <v/>
      </c>
    </row>
    <row r="7">
      <c r="A7" s="53" t="n">
        <v>0.75</v>
      </c>
      <c r="B7" s="54">
        <f>Sizing!$B$26*$A7*(Realisation_Y1-B$4)</f>
        <v/>
      </c>
      <c r="C7" s="54">
        <f>Sizing!$B$26*$A7*(Realisation_Y1-C$4)</f>
        <v/>
      </c>
      <c r="D7" s="54">
        <f>Sizing!$B$26*$A7*(Realisation_Y1-D$4)</f>
        <v/>
      </c>
      <c r="E7" s="54">
        <f>Sizing!$B$26*$A7*(Realisation_Y1-E$4)</f>
        <v/>
      </c>
      <c r="F7" s="54">
        <f>Sizing!$B$26*$A7*(Realisation_Y1-F$4)</f>
        <v/>
      </c>
    </row>
    <row r="8">
      <c r="A8" s="53" t="n">
        <v>1</v>
      </c>
      <c r="B8" s="54">
        <f>Sizing!$B$26*$A8*(Realisation_Y1-B$4)</f>
        <v/>
      </c>
      <c r="C8" s="54">
        <f>Sizing!$B$26*$A8*(Realisation_Y1-C$4)</f>
        <v/>
      </c>
      <c r="D8" s="54">
        <f>Sizing!$B$26*$A8*(Realisation_Y1-D$4)</f>
        <v/>
      </c>
      <c r="E8" s="54">
        <f>Sizing!$B$26*$A8*(Realisation_Y1-E$4)</f>
        <v/>
      </c>
      <c r="F8" s="54">
        <f>Sizing!$B$26*$A8*(Realisation_Y1-F$4)</f>
        <v/>
      </c>
    </row>
    <row r="9"/>
    <row r="10"/>
    <row r="11" ht="18" customHeight="1">
      <c r="A11" s="3" t="inlineStr">
        <is>
          <t>THE SAME GRID, ANNUALISED (STEADY STATE, NO ONE-OFF COST)</t>
        </is>
      </c>
      <c r="B11" s="4" t="n"/>
      <c r="C11" s="4" t="n"/>
      <c r="D11" s="4" t="n"/>
      <c r="E11" s="4" t="n"/>
      <c r="F11" s="4" t="n"/>
    </row>
    <row r="12">
      <c r="A12" s="55" t="inlineStr">
        <is>
          <t>Gap closed \ annualised benefit</t>
        </is>
      </c>
      <c r="B12" s="52">
        <f>B4</f>
        <v/>
      </c>
      <c r="C12" s="52">
        <f>C4</f>
        <v/>
      </c>
      <c r="D12" s="52">
        <f>D4</f>
        <v/>
      </c>
      <c r="E12" s="52">
        <f>E4</f>
        <v/>
      </c>
      <c r="F12" s="52">
        <f>F4</f>
        <v/>
      </c>
    </row>
    <row r="13">
      <c r="A13" s="53" t="n">
        <v>0.25</v>
      </c>
      <c r="B13" s="56">
        <f>Sizing!$B$26*$A13</f>
        <v/>
      </c>
      <c r="C13" s="56">
        <f>Sizing!$B$26*$A13</f>
        <v/>
      </c>
      <c r="D13" s="56">
        <f>Sizing!$B$26*$A13</f>
        <v/>
      </c>
      <c r="E13" s="56">
        <f>Sizing!$B$26*$A13</f>
        <v/>
      </c>
      <c r="F13" s="56">
        <f>Sizing!$B$26*$A13</f>
        <v/>
      </c>
    </row>
    <row r="14">
      <c r="A14" s="53" t="n">
        <v>0.5</v>
      </c>
      <c r="B14" s="56">
        <f>Sizing!$B$26*$A14</f>
        <v/>
      </c>
      <c r="C14" s="56">
        <f>Sizing!$B$26*$A14</f>
        <v/>
      </c>
      <c r="D14" s="56">
        <f>Sizing!$B$26*$A14</f>
        <v/>
      </c>
      <c r="E14" s="56">
        <f>Sizing!$B$26*$A14</f>
        <v/>
      </c>
      <c r="F14" s="56">
        <f>Sizing!$B$26*$A14</f>
        <v/>
      </c>
    </row>
    <row r="15">
      <c r="A15" s="53" t="n">
        <v>0.75</v>
      </c>
      <c r="B15" s="56">
        <f>Sizing!$B$26*$A15</f>
        <v/>
      </c>
      <c r="C15" s="56">
        <f>Sizing!$B$26*$A15</f>
        <v/>
      </c>
      <c r="D15" s="56">
        <f>Sizing!$B$26*$A15</f>
        <v/>
      </c>
      <c r="E15" s="56">
        <f>Sizing!$B$26*$A15</f>
        <v/>
      </c>
      <c r="F15" s="56">
        <f>Sizing!$B$26*$A15</f>
        <v/>
      </c>
    </row>
    <row r="16">
      <c r="A16" s="53" t="n">
        <v>1</v>
      </c>
      <c r="B16" s="56">
        <f>Sizing!$B$26*$A16</f>
        <v/>
      </c>
      <c r="C16" s="56">
        <f>Sizing!$B$26*$A16</f>
        <v/>
      </c>
      <c r="D16" s="56">
        <f>Sizing!$B$26*$A16</f>
        <v/>
      </c>
      <c r="E16" s="56">
        <f>Sizing!$B$26*$A16</f>
        <v/>
      </c>
      <c r="F16" s="56">
        <f>Sizing!$B$26*$A16</f>
        <v/>
      </c>
    </row>
  </sheetData>
  <mergeCells count="1">
    <mergeCell ref="H4:H10"/>
  </mergeCells>
  <printOptions horizontalCentered="1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F17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4" customWidth="1" min="3" max="3"/>
    <col width="14" customWidth="1" min="4" max="4"/>
    <col width="10" customWidth="1" min="5" max="5"/>
    <col width="64" customWidth="1" min="6" max="6"/>
  </cols>
  <sheetData>
    <row r="1" ht="22" customHeight="1">
      <c r="A1" s="1" t="inlineStr">
        <is>
          <t>Checks: ten reasons to distrust this model if any of them fails</t>
        </is>
      </c>
    </row>
    <row r="2">
      <c r="A2" s="2" t="inlineStr">
        <is>
          <t>Every test is a live formula. Nothing is published while a row reads FAIL.</t>
        </is>
      </c>
    </row>
    <row r="4" ht="30" customHeight="1">
      <c r="A4" s="11" t="inlineStr">
        <is>
          <t>#</t>
        </is>
      </c>
      <c r="B4" s="11" t="inlineStr">
        <is>
          <t>Check</t>
        </is>
      </c>
      <c r="C4" s="11" t="inlineStr">
        <is>
          <t>Value</t>
        </is>
      </c>
      <c r="D4" s="11" t="inlineStr">
        <is>
          <t>Threshold</t>
        </is>
      </c>
      <c r="E4" s="11" t="inlineStr">
        <is>
          <t>Status</t>
        </is>
      </c>
      <c r="F4" s="11" t="inlineStr">
        <is>
          <t>Why it matters</t>
        </is>
      </c>
    </row>
    <row r="5" ht="30" customHeight="1">
      <c r="A5" s="12" t="n">
        <v>1</v>
      </c>
      <c r="B5" s="12" t="inlineStr">
        <is>
          <t>All 16 input rows carry revenue, staff cost and FTE</t>
        </is>
      </c>
      <c r="C5" s="12">
        <f>COUNTIFS(Inputs!F5:F20,"&gt;0",Inputs!G5:G20,"&gt;0",Inputs!H5:H20,"&gt;0")</f>
        <v/>
      </c>
      <c r="D5" s="15" t="n">
        <v>16</v>
      </c>
      <c r="E5" s="57">
        <f>C5=D5</f>
        <v/>
      </c>
      <c r="F5" s="58" t="inlineStr">
        <is>
          <t>A blank cell silently becomes zero and poisons every ratio.</t>
        </is>
      </c>
    </row>
    <row r="6" ht="30" customHeight="1">
      <c r="A6" s="12" t="n">
        <v>2</v>
      </c>
      <c r="B6" s="12" t="inlineStr">
        <is>
          <t>Every peer has exactly one latest-year row in Benchmarks</t>
        </is>
      </c>
      <c r="C6" s="12">
        <f>COUNTA(Benchmarks!A6:A8)</f>
        <v/>
      </c>
      <c r="D6" s="15" t="n">
        <v>3</v>
      </c>
      <c r="E6" s="57">
        <f>C6=D6</f>
        <v/>
      </c>
      <c r="F6" s="58" t="inlineStr">
        <is>
          <t>Duplicate vintage would double-count a peer in the median.</t>
        </is>
      </c>
    </row>
    <row r="7" ht="30" customHeight="1">
      <c r="A7" s="12" t="n">
        <v>3</v>
      </c>
      <c r="B7" s="12" t="inlineStr">
        <is>
          <t>Target row is in Benchmarks and is not a peer</t>
        </is>
      </c>
      <c r="C7" s="12">
        <f>COUNTIF(Benchmarks!A5:A5,"Zellis*")</f>
        <v/>
      </c>
      <c r="D7" s="15" t="n">
        <v>1</v>
      </c>
      <c r="E7" s="57">
        <f>C7=D7</f>
        <v/>
      </c>
      <c r="F7" s="58" t="inlineStr">
        <is>
          <t>The target must never enter the peer statistic.</t>
        </is>
      </c>
    </row>
    <row r="8" ht="30" customHeight="1">
      <c r="A8" s="12" t="n">
        <v>4</v>
      </c>
      <c r="B8" s="12" t="inlineStr">
        <is>
          <t>Staff-cost ratio is between 0% and 100% for every row</t>
        </is>
      </c>
      <c r="C8" s="12">
        <f>COUNTIFS(Inputs!J5:J20,"&gt;0",Inputs!J5:J20,"&lt;1")</f>
        <v/>
      </c>
      <c r="D8" s="15" t="n">
        <v>16</v>
      </c>
      <c r="E8" s="57">
        <f>C8=D8</f>
        <v/>
      </c>
      <c r="F8" s="58" t="inlineStr">
        <is>
          <t>A ratio outside that range means a units error.</t>
        </is>
      </c>
    </row>
    <row r="9" ht="30" customHeight="1">
      <c r="A9" s="12" t="n">
        <v>5</v>
      </c>
      <c r="B9" s="12" t="inlineStr">
        <is>
          <t>Target revenue per FTE is below the peer median</t>
        </is>
      </c>
      <c r="C9" s="12">
        <f>Benchmarks!B20</f>
        <v/>
      </c>
      <c r="D9" s="15" t="n">
        <v>0</v>
      </c>
      <c r="E9" s="57">
        <f>C9&lt;D9</f>
        <v/>
      </c>
      <c r="F9" s="58" t="inlineStr">
        <is>
          <t>This is the finding. If it fails, the case has no premise.</t>
        </is>
      </c>
    </row>
    <row r="10" ht="30" customHeight="1">
      <c r="A10" s="12" t="n">
        <v>6</v>
      </c>
      <c r="B10" s="12" t="inlineStr">
        <is>
          <t>Methods A and B reconcile within tolerance</t>
        </is>
      </c>
      <c r="C10" s="16">
        <f>Sizing!B20</f>
        <v/>
      </c>
      <c r="D10" s="16">
        <f>Check_Tolerance</f>
        <v/>
      </c>
      <c r="E10" s="57">
        <f>C10&lt;=D10</f>
        <v/>
      </c>
      <c r="F10" s="58" t="inlineStr">
        <is>
          <t>Two routes agreeing is what makes the number defensible.</t>
        </is>
      </c>
    </row>
    <row r="11" ht="30" customHeight="1">
      <c r="A11" s="12" t="n">
        <v>7</v>
      </c>
      <c r="B11" s="12" t="inlineStr">
        <is>
          <t>Implied FTE is below current FTE</t>
        </is>
      </c>
      <c r="C11" s="12">
        <f>Sizing!B14</f>
        <v/>
      </c>
      <c r="D11" s="15" t="n">
        <v>0</v>
      </c>
      <c r="E11" s="57">
        <f>C11&gt;D11</f>
        <v/>
      </c>
      <c r="F11" s="58" t="inlineStr">
        <is>
          <t>A negative headcount delta would mean Zellis is under-staffed.</t>
        </is>
      </c>
    </row>
    <row r="12" ht="30" customHeight="1">
      <c r="A12" s="12" t="n">
        <v>8</v>
      </c>
      <c r="B12" s="12" t="inlineStr">
        <is>
          <t>Scenario anchors are ordered P25 &lt;= median &lt;= P75</t>
        </is>
      </c>
      <c r="C12" s="12">
        <f>Benchmarks!B13-Benchmarks!B12</f>
        <v/>
      </c>
      <c r="D12" s="15" t="n">
        <v>0</v>
      </c>
      <c r="E12" s="57">
        <f>C12&lt;=D12</f>
        <v/>
      </c>
      <c r="F12" s="58" t="inlineStr">
        <is>
          <t>Unsorted anchors would mislabel conservative and stretch.</t>
        </is>
      </c>
    </row>
    <row r="13" ht="30" customHeight="1">
      <c r="A13" s="12" t="n">
        <v>9</v>
      </c>
      <c r="B13" s="12" t="inlineStr">
        <is>
          <t>Sensitivity falls as cost to implement rises</t>
        </is>
      </c>
      <c r="C13" s="12">
        <f>Sensitivity!B5-Sensitivity!F5</f>
        <v/>
      </c>
      <c r="D13" s="15" t="n">
        <v>0</v>
      </c>
      <c r="E13" s="57">
        <f>C13&gt;D13</f>
        <v/>
      </c>
      <c r="F13" s="58" t="inlineStr">
        <is>
          <t>Wrong direction means the cost sign is inverted.</t>
        </is>
      </c>
    </row>
    <row r="14" ht="30" customHeight="1">
      <c r="A14" s="12" t="n">
        <v>10</v>
      </c>
      <c r="B14" s="12" t="inlineStr">
        <is>
          <t>Sensitivity falls as less of the gap is closed</t>
        </is>
      </c>
      <c r="C14" s="12">
        <f>Sensitivity!B8-Sensitivity!B5</f>
        <v/>
      </c>
      <c r="D14" s="15" t="n">
        <v>0</v>
      </c>
      <c r="E14" s="57">
        <f>C14&gt;D14</f>
        <v/>
      </c>
      <c r="F14" s="58" t="inlineStr">
        <is>
          <t>Catches a row/column transposition in the grid.</t>
        </is>
      </c>
    </row>
    <row r="16" ht="18" customHeight="1">
      <c r="A16" s="3" t="inlineStr">
        <is>
          <t>OVERALL</t>
        </is>
      </c>
      <c r="B16" s="4" t="n"/>
      <c r="C16" s="4" t="n"/>
      <c r="D16" s="4" t="n"/>
      <c r="E16" s="4" t="n"/>
      <c r="F16" s="4" t="n"/>
    </row>
    <row r="17" ht="24" customHeight="1">
      <c r="B17" s="59">
        <f>IF(COUNTIF(E5:E14,"FAIL")=0,"ALL CHECKS PASS","REVIEW: "&amp;COUNTIF(E5:E14,"FAIL")&amp;" FAILED")</f>
        <v/>
      </c>
    </row>
  </sheetData>
  <mergeCells count="1">
    <mergeCell ref="B17:C17"/>
  </mergeCells>
  <conditionalFormatting sqref="E5:E14">
    <cfRule type="cellIs" priority="1" operator="equal" dxfId="0">
      <formula>"PASS"</formula>
    </cfRule>
    <cfRule type="cellIs" priority="2" operator="equal" dxfId="1">
      <formula>"FAIL"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2026-10-21T19:42:57Z</dcterms:created>
  <dcterms:modified xmlns:dcterms="http://purl.org/dc/terms/" xmlns:xsi="http://www.w3.org/2001/XMLSchema-instance" xsi:type="dcterms:W3CDTF">2026-10-21T19:42:57Z</dcterms:modified>
</cp:coreProperties>
</file>